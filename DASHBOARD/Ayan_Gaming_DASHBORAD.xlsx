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LENOVO\OneDrive\Desktop\EXCEL\DASHBOARD\"/>
    </mc:Choice>
  </mc:AlternateContent>
  <xr:revisionPtr revIDLastSave="5" documentId="13_ncr:1_{43DE629D-F84D-4F3E-A087-40FA66FB7247}" xr6:coauthVersionLast="36" xr6:coauthVersionMax="36" xr10:uidLastSave="{EF82A73A-76B9-4221-A2A9-19719F60AF7D}"/>
  <bookViews>
    <workbookView xWindow="0" yWindow="0" windowWidth="23040" windowHeight="8940" tabRatio="500" xr2:uid="{00000000-000D-0000-FFFF-FFFF00000000}"/>
  </bookViews>
  <sheets>
    <sheet name="DASHBORD" sheetId="9" r:id="rId1"/>
    <sheet name="Top Games" sheetId="2" r:id="rId2"/>
  </sheets>
  <definedNames>
    <definedName name="Slicer_Free_Paid">#N/A</definedName>
    <definedName name="Slicer_Genre">#N/A</definedName>
    <definedName name="Slicer_Peak_Year">#N/A</definedName>
    <definedName name="Slicer_Platform">#N/A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T19" i="9" l="1"/>
  <c r="K27" i="2"/>
  <c r="H27" i="2"/>
  <c r="F40" i="2"/>
  <c r="F27" i="2"/>
</calcChain>
</file>

<file path=xl/sharedStrings.xml><?xml version="1.0" encoding="utf-8"?>
<sst xmlns="http://schemas.openxmlformats.org/spreadsheetml/2006/main" count="169" uniqueCount="77">
  <si>
    <t>Platform</t>
  </si>
  <si>
    <t>Mobile</t>
  </si>
  <si>
    <t>Most Played Games in India (2024)</t>
  </si>
  <si>
    <t>Rank</t>
  </si>
  <si>
    <t>Game Title</t>
  </si>
  <si>
    <t>Genre</t>
  </si>
  <si>
    <t>Active Players (Mn)</t>
  </si>
  <si>
    <t>Downloads (Mn)</t>
  </si>
  <si>
    <t>Revenue (₹ Cr)</t>
  </si>
  <si>
    <t>Avg Rating</t>
  </si>
  <si>
    <t>Free/Paid</t>
  </si>
  <si>
    <t>Peak Year</t>
  </si>
  <si>
    <t>BGMI / PUBG Mobile</t>
  </si>
  <si>
    <t>Battle Royale</t>
  </si>
  <si>
    <t>Free</t>
  </si>
  <si>
    <t>2021-24</t>
  </si>
  <si>
    <t>Free Fire MAX</t>
  </si>
  <si>
    <t>2020-24</t>
  </si>
  <si>
    <t>Ludo King</t>
  </si>
  <si>
    <t>Board</t>
  </si>
  <si>
    <t>Candy Crush Saga</t>
  </si>
  <si>
    <t>Puzzle</t>
  </si>
  <si>
    <t>2018-24</t>
  </si>
  <si>
    <t>Call of Duty Mobile</t>
  </si>
  <si>
    <t>FPS</t>
  </si>
  <si>
    <t>Minecraft</t>
  </si>
  <si>
    <t>Sandbox</t>
  </si>
  <si>
    <t>PC/Mobile</t>
  </si>
  <si>
    <t>Paid</t>
  </si>
  <si>
    <t>2019-24</t>
  </si>
  <si>
    <t>Clash of Clans</t>
  </si>
  <si>
    <t>Strategy</t>
  </si>
  <si>
    <t>2016-24</t>
  </si>
  <si>
    <t>Dream11 Fantasy</t>
  </si>
  <si>
    <t>Fantasy Sports</t>
  </si>
  <si>
    <t>GTA V</t>
  </si>
  <si>
    <t>Action</t>
  </si>
  <si>
    <t>PC/Console</t>
  </si>
  <si>
    <t>2015-24</t>
  </si>
  <si>
    <t>FIFA / EA Sports FC</t>
  </si>
  <si>
    <t>Sports</t>
  </si>
  <si>
    <t>PC/Console/Mobile</t>
  </si>
  <si>
    <t>Among Us</t>
  </si>
  <si>
    <t>Social Deduction</t>
  </si>
  <si>
    <t>Mobile/PC</t>
  </si>
  <si>
    <t>2020-22</t>
  </si>
  <si>
    <t>Valorant</t>
  </si>
  <si>
    <t>FPS/Tactical</t>
  </si>
  <si>
    <t>PC</t>
  </si>
  <si>
    <t>2022-24</t>
  </si>
  <si>
    <t>Temple Run 2</t>
  </si>
  <si>
    <t>Endless Runner</t>
  </si>
  <si>
    <t>2014-24</t>
  </si>
  <si>
    <t>Subway Surfers</t>
  </si>
  <si>
    <t>2013-24</t>
  </si>
  <si>
    <t>Pokemon GO</t>
  </si>
  <si>
    <t>AR Adventure</t>
  </si>
  <si>
    <t>Mobile Legends</t>
  </si>
  <si>
    <t>MOBA</t>
  </si>
  <si>
    <t>8 Ball Pool</t>
  </si>
  <si>
    <t>2017-24</t>
  </si>
  <si>
    <t>Roblox</t>
  </si>
  <si>
    <t>Metaverse</t>
  </si>
  <si>
    <t>Clash Royale</t>
  </si>
  <si>
    <t>Real Cricket</t>
  </si>
  <si>
    <t>Row Labels</t>
  </si>
  <si>
    <t>Grand Total</t>
  </si>
  <si>
    <t>Sum of Avg Rating</t>
  </si>
  <si>
    <t>Count of Platform</t>
  </si>
  <si>
    <t>Sum of Downloads (Mn)</t>
  </si>
  <si>
    <t>Sum of Revenue (₹ Cr)</t>
  </si>
  <si>
    <t xml:space="preserve">India Gaming Market Dashboard </t>
  </si>
  <si>
    <t>TOTAL REVENUE (CR)</t>
  </si>
  <si>
    <t>Sum of Active Players (Mn)</t>
  </si>
  <si>
    <t>TOTAL DOWNLOAD</t>
  </si>
  <si>
    <t>TOTAL Paltform</t>
  </si>
  <si>
    <t>ACTIVE PLAYERS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</si>
</sst>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b/>
      <sz val="11"/>
      <color theme="1"/>
      <name val="Calibri"/>
      <family val="2"/>
      <charset val="1"/>
    </font>
    <font>
      <b/>
      <sz val="25"/>
      <color rgb="FFFFFFFF"/>
      <name val="Algerian"/>
      <family val="5"/>
    </font>
    <font>
      <b/>
      <sz val="30"/>
      <color theme="0"/>
      <name val="Copperplate Gothic Bold"/>
      <family val="2"/>
    </font>
  </fonts>
  <fills count="7">
    <fill>
      <patternFill patternType="none"/>
    </fill>
    <fill>
      <patternFill patternType="gray125"/>
    </fill>
    <fill>
      <patternFill patternType="solid">
        <fgColor rgb="FF0070C0"/>
        <bgColor indexed="64"/>
      </patternFill>
    </fill>
    <fill>
      <patternFill patternType="solid">
        <fgColor theme="5"/>
        <bgColor rgb="FF003366"/>
      </patternFill>
    </fill>
    <fill>
      <patternFill patternType="solid">
        <fgColor theme="6" tint="-0.249977111117893"/>
        <bgColor rgb="FF003366"/>
      </patternFill>
    </fill>
    <fill>
      <patternFill patternType="solid">
        <fgColor theme="1" tint="4.9989318521683403E-2"/>
        <bgColor rgb="FF003366"/>
      </patternFill>
    </fill>
    <fill>
      <patternFill patternType="solid">
        <fgColor rgb="FF002060"/>
        <bgColor rgb="FF003366"/>
      </patternFill>
    </fill>
  </fills>
  <borders count="2">
    <border>
      <left/>
      <right/>
      <top/>
      <bottom/>
      <diagonal/>
    </border>
    <border>
      <left/>
      <right/>
      <top style="double">
        <color theme="4"/>
      </top>
      <bottom style="thin">
        <color theme="4" tint="0.39997558519241921"/>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0" borderId="1" xfId="0" applyFont="1" applyBorder="1"/>
    <xf numFmtId="0" fontId="0" fillId="2" borderId="0" xfId="0" applyFill="1"/>
    <xf numFmtId="0" fontId="2" fillId="5" borderId="0" xfId="0" applyFont="1" applyFill="1" applyBorder="1" applyAlignment="1">
      <alignment horizontal="center" vertical="top" wrapText="1"/>
    </xf>
    <xf numFmtId="0" fontId="2" fillId="6" borderId="0"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4" borderId="0" xfId="0" applyFont="1" applyFill="1" applyBorder="1" applyAlignment="1">
      <alignment horizontal="center" vertical="top" wrapText="1"/>
    </xf>
    <xf numFmtId="0" fontId="3" fillId="2"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CE4D6"/>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[Ayan_Gaming_DASHBORAD.xlsx]Top Games!PivotTable10</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TOP 5 REVENUE (CR)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Games'!$D$25</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Games'!$C$26:$C$31</c:f>
              <c:strCache>
                <c:ptCount val="5"/>
                <c:pt idx="0">
                  <c:v>BGMI / PUBG Mobile</c:v>
                </c:pt>
                <c:pt idx="1">
                  <c:v>Call of Duty Mobile</c:v>
                </c:pt>
                <c:pt idx="2">
                  <c:v>Dream11 Fantasy</c:v>
                </c:pt>
                <c:pt idx="3">
                  <c:v>Free Fire MAX</c:v>
                </c:pt>
                <c:pt idx="4">
                  <c:v>Valorant</c:v>
                </c:pt>
              </c:strCache>
            </c:strRef>
          </c:cat>
          <c:val>
            <c:numRef>
              <c:f>'Top Games'!$D$26:$D$31</c:f>
              <c:numCache>
                <c:formatCode>General</c:formatCode>
                <c:ptCount val="5"/>
                <c:pt idx="0">
                  <c:v>1850</c:v>
                </c:pt>
                <c:pt idx="1">
                  <c:v>980</c:v>
                </c:pt>
                <c:pt idx="2">
                  <c:v>3200</c:v>
                </c:pt>
                <c:pt idx="3">
                  <c:v>1200</c:v>
                </c:pt>
                <c:pt idx="4">
                  <c:v>780</c:v>
                </c:pt>
              </c:numCache>
            </c:numRef>
          </c:val>
          <c:extLst>
            <c:ext xmlns:c16="http://schemas.microsoft.com/office/drawing/2014/chart" uri="{C3380CC4-5D6E-409C-BE32-E72D297353CC}">
              <c16:uniqueId val="{00000000-D191-4E87-9556-FB71F1EF6ED7}"/>
            </c:ext>
          </c:extLst>
        </c:ser>
        <c:dLbls>
          <c:dLblPos val="outEnd"/>
          <c:showLegendKey val="0"/>
          <c:showVal val="1"/>
          <c:showCatName val="0"/>
          <c:showSerName val="0"/>
          <c:showPercent val="0"/>
          <c:showBubbleSize val="0"/>
        </c:dLbls>
        <c:gapWidth val="115"/>
        <c:overlap val="-20"/>
        <c:axId val="107098688"/>
        <c:axId val="104531056"/>
      </c:barChart>
      <c:catAx>
        <c:axId val="10709868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531056"/>
        <c:crosses val="autoZero"/>
        <c:auto val="1"/>
        <c:lblAlgn val="ctr"/>
        <c:lblOffset val="100"/>
        <c:noMultiLvlLbl val="0"/>
      </c:catAx>
      <c:valAx>
        <c:axId val="104531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9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[Ayan_Gaming_DASHBORAD.xlsx]Top Games!PivotTable17</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Average Rating</a:t>
            </a:r>
            <a:endParaRPr lang="en-IN" baseline="0">
              <a:latin typeface="Rockwell" panose="02060603020205020403"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Games'!$G$29</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Games'!$F$30:$F$36</c:f>
              <c:strCache>
                <c:ptCount val="6"/>
                <c:pt idx="0">
                  <c:v>Mobile</c:v>
                </c:pt>
                <c:pt idx="1">
                  <c:v>Mobile/PC</c:v>
                </c:pt>
                <c:pt idx="2">
                  <c:v>PC</c:v>
                </c:pt>
                <c:pt idx="3">
                  <c:v>PC/Console</c:v>
                </c:pt>
                <c:pt idx="4">
                  <c:v>PC/Console/Mobile</c:v>
                </c:pt>
                <c:pt idx="5">
                  <c:v>PC/Mobile</c:v>
                </c:pt>
              </c:strCache>
            </c:strRef>
          </c:cat>
          <c:val>
            <c:numRef>
              <c:f>'Top Games'!$G$30:$G$36</c:f>
              <c:numCache>
                <c:formatCode>General</c:formatCode>
                <c:ptCount val="6"/>
                <c:pt idx="0">
                  <c:v>58.9</c:v>
                </c:pt>
                <c:pt idx="1">
                  <c:v>8.1</c:v>
                </c:pt>
                <c:pt idx="2">
                  <c:v>4.5</c:v>
                </c:pt>
                <c:pt idx="3">
                  <c:v>4.5999999999999996</c:v>
                </c:pt>
                <c:pt idx="4">
                  <c:v>4.3</c:v>
                </c:pt>
                <c:pt idx="5">
                  <c:v>4.7</c:v>
                </c:pt>
              </c:numCache>
            </c:numRef>
          </c:val>
          <c:extLst>
            <c:ext xmlns:c16="http://schemas.microsoft.com/office/drawing/2014/chart" uri="{C3380CC4-5D6E-409C-BE32-E72D297353CC}">
              <c16:uniqueId val="{00000000-D2D1-4E1B-AE37-ECB3D16BD1A9}"/>
            </c:ext>
          </c:extLst>
        </c:ser>
        <c:dLbls>
          <c:dLblPos val="outEnd"/>
          <c:showLegendKey val="0"/>
          <c:showVal val="1"/>
          <c:showCatName val="0"/>
          <c:showSerName val="0"/>
          <c:showPercent val="0"/>
          <c:showBubbleSize val="0"/>
        </c:dLbls>
        <c:gapWidth val="100"/>
        <c:overlap val="-24"/>
        <c:axId val="115975376"/>
        <c:axId val="453204768"/>
      </c:barChart>
      <c:catAx>
        <c:axId val="115975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204768"/>
        <c:crosses val="autoZero"/>
        <c:auto val="1"/>
        <c:lblAlgn val="ctr"/>
        <c:lblOffset val="100"/>
        <c:noMultiLvlLbl val="0"/>
      </c:catAx>
      <c:valAx>
        <c:axId val="453204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7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[Ayan_Gaming_DASHBORAD.xlsx]Top Games!PivotTable16</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latin typeface="Rockwell" panose="02060603020205020403" pitchFamily="18" charset="0"/>
              </a:rPr>
              <a:t>Active Players Million</a:t>
            </a:r>
            <a:endParaRPr lang="en-IN" baseline="0">
              <a:latin typeface="Rockwell" panose="02060603020205020403" pitchFamily="18" charset="0"/>
            </a:endParaRPr>
          </a:p>
        </c:rich>
      </c:tx>
      <c:layout>
        <c:manualLayout>
          <c:xMode val="edge"/>
          <c:yMode val="edge"/>
          <c:x val="0.36085411198600181"/>
          <c:y val="0.1193496646252551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5"/>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3"/>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14"/>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'Top Games'!$D$35</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F83F-4ADE-A4E6-B3292A0178FE}"/>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F83F-4ADE-A4E6-B3292A0178FE}"/>
              </c:ext>
            </c:extLst>
          </c:dPt>
          <c:dPt>
            <c:idx val="2"/>
            <c:bubble3D val="0"/>
            <c:spPr>
              <a:gradFill>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extLst>
              <c:ext xmlns:c16="http://schemas.microsoft.com/office/drawing/2014/chart" uri="{C3380CC4-5D6E-409C-BE32-E72D297353CC}">
                <c16:uniqueId val="{00000005-F83F-4ADE-A4E6-B3292A0178FE}"/>
              </c:ext>
            </c:extLst>
          </c:dPt>
          <c:dPt>
            <c:idx val="3"/>
            <c:bubble3D val="0"/>
            <c:spPr>
              <a:gradFill>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extLst>
              <c:ext xmlns:c16="http://schemas.microsoft.com/office/drawing/2014/chart" uri="{C3380CC4-5D6E-409C-BE32-E72D297353CC}">
                <c16:uniqueId val="{00000007-F83F-4ADE-A4E6-B3292A0178FE}"/>
              </c:ext>
            </c:extLst>
          </c:dPt>
          <c:dPt>
            <c:idx val="4"/>
            <c:bubble3D val="0"/>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extLst>
              <c:ext xmlns:c16="http://schemas.microsoft.com/office/drawing/2014/chart" uri="{C3380CC4-5D6E-409C-BE32-E72D297353CC}">
                <c16:uniqueId val="{00000009-F83F-4ADE-A4E6-B3292A0178FE}"/>
              </c:ext>
            </c:extLst>
          </c:dPt>
          <c:dPt>
            <c:idx val="5"/>
            <c:bubble3D val="0"/>
            <c:spPr>
              <a:gradFill>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extLst>
              <c:ext xmlns:c16="http://schemas.microsoft.com/office/drawing/2014/chart" uri="{C3380CC4-5D6E-409C-BE32-E72D297353CC}">
                <c16:uniqueId val="{0000000B-F83F-4ADE-A4E6-B3292A0178F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Games'!$C$36:$C$42</c:f>
              <c:strCache>
                <c:ptCount val="6"/>
                <c:pt idx="0">
                  <c:v>Mobile</c:v>
                </c:pt>
                <c:pt idx="1">
                  <c:v>Mobile/PC</c:v>
                </c:pt>
                <c:pt idx="2">
                  <c:v>PC</c:v>
                </c:pt>
                <c:pt idx="3">
                  <c:v>PC/Console</c:v>
                </c:pt>
                <c:pt idx="4">
                  <c:v>PC/Console/Mobile</c:v>
                </c:pt>
                <c:pt idx="5">
                  <c:v>PC/Mobile</c:v>
                </c:pt>
              </c:strCache>
            </c:strRef>
          </c:cat>
          <c:val>
            <c:numRef>
              <c:f>'Top Games'!$D$36:$D$42</c:f>
              <c:numCache>
                <c:formatCode>General</c:formatCode>
                <c:ptCount val="6"/>
                <c:pt idx="0">
                  <c:v>632</c:v>
                </c:pt>
                <c:pt idx="1">
                  <c:v>41</c:v>
                </c:pt>
                <c:pt idx="2">
                  <c:v>25</c:v>
                </c:pt>
                <c:pt idx="3">
                  <c:v>35</c:v>
                </c:pt>
                <c:pt idx="4">
                  <c:v>32</c:v>
                </c:pt>
                <c:pt idx="5">
                  <c:v>45</c:v>
                </c:pt>
              </c:numCache>
            </c:numRef>
          </c:val>
          <c:extLst>
            <c:ext xmlns:c16="http://schemas.microsoft.com/office/drawing/2014/chart" uri="{C3380CC4-5D6E-409C-BE32-E72D297353CC}">
              <c16:uniqueId val="{0000000C-F83F-4ADE-A4E6-B3292A0178F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[Ayan_Gaming_DASHBORAD.xlsx]Top Games!PivotTable22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DOWNLOAD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pivotFmt>
      <c:pivotFmt>
        <c:idx val="1"/>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pivotFmt>
    </c:pivotFmts>
    <c:plotArea>
      <c:layout/>
      <c:areaChart>
        <c:grouping val="standard"/>
        <c:varyColors val="0"/>
        <c:ser>
          <c:idx val="0"/>
          <c:order val="0"/>
          <c:tx>
            <c:strRef>
              <c:f>'Top Games'!$L$29</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cat>
            <c:strRef>
              <c:f>'Top Games'!$K$30:$K$50</c:f>
              <c:strCache>
                <c:ptCount val="20"/>
                <c:pt idx="0">
                  <c:v>Subway Surfers</c:v>
                </c:pt>
                <c:pt idx="1">
                  <c:v>Ludo King</c:v>
                </c:pt>
                <c:pt idx="2">
                  <c:v>Temple Run 2</c:v>
                </c:pt>
                <c:pt idx="3">
                  <c:v>Candy Crush Saga</c:v>
                </c:pt>
                <c:pt idx="4">
                  <c:v>Free Fire MAX</c:v>
                </c:pt>
                <c:pt idx="5">
                  <c:v>BGMI / PUBG Mobile</c:v>
                </c:pt>
                <c:pt idx="6">
                  <c:v>Clash of Clans</c:v>
                </c:pt>
                <c:pt idx="7">
                  <c:v>Call of Duty Mobile</c:v>
                </c:pt>
                <c:pt idx="8">
                  <c:v>Dream11 Fantasy</c:v>
                </c:pt>
                <c:pt idx="9">
                  <c:v>8 Ball Pool</c:v>
                </c:pt>
                <c:pt idx="10">
                  <c:v>Among Us</c:v>
                </c:pt>
                <c:pt idx="11">
                  <c:v>Clash Royale</c:v>
                </c:pt>
                <c:pt idx="12">
                  <c:v>Real Cricket</c:v>
                </c:pt>
                <c:pt idx="13">
                  <c:v>FIFA / EA Sports FC</c:v>
                </c:pt>
                <c:pt idx="14">
                  <c:v>Mobile Legends</c:v>
                </c:pt>
                <c:pt idx="15">
                  <c:v>Minecraft</c:v>
                </c:pt>
                <c:pt idx="16">
                  <c:v>Roblox</c:v>
                </c:pt>
                <c:pt idx="17">
                  <c:v>Pokemon GO</c:v>
                </c:pt>
                <c:pt idx="18">
                  <c:v>Valorant</c:v>
                </c:pt>
                <c:pt idx="19">
                  <c:v>GTA V</c:v>
                </c:pt>
              </c:strCache>
            </c:strRef>
          </c:cat>
          <c:val>
            <c:numRef>
              <c:f>'Top Games'!$L$30:$L$50</c:f>
              <c:numCache>
                <c:formatCode>General</c:formatCode>
                <c:ptCount val="20"/>
                <c:pt idx="0">
                  <c:v>800</c:v>
                </c:pt>
                <c:pt idx="1">
                  <c:v>700</c:v>
                </c:pt>
                <c:pt idx="2">
                  <c:v>600</c:v>
                </c:pt>
                <c:pt idx="3">
                  <c:v>500</c:v>
                </c:pt>
                <c:pt idx="4">
                  <c:v>400</c:v>
                </c:pt>
                <c:pt idx="5">
                  <c:v>350</c:v>
                </c:pt>
                <c:pt idx="6">
                  <c:v>300</c:v>
                </c:pt>
                <c:pt idx="7">
                  <c:v>280</c:v>
                </c:pt>
                <c:pt idx="8">
                  <c:v>250</c:v>
                </c:pt>
                <c:pt idx="9">
                  <c:v>200</c:v>
                </c:pt>
                <c:pt idx="10">
                  <c:v>150</c:v>
                </c:pt>
                <c:pt idx="11">
                  <c:v>120</c:v>
                </c:pt>
                <c:pt idx="12">
                  <c:v>90</c:v>
                </c:pt>
                <c:pt idx="13">
                  <c:v>90</c:v>
                </c:pt>
                <c:pt idx="14">
                  <c:v>80</c:v>
                </c:pt>
                <c:pt idx="15">
                  <c:v>80</c:v>
                </c:pt>
                <c:pt idx="16">
                  <c:v>60</c:v>
                </c:pt>
                <c:pt idx="17">
                  <c:v>40</c:v>
                </c:pt>
                <c:pt idx="18">
                  <c:v>30</c:v>
                </c:pt>
                <c:pt idx="19">
                  <c:v>20</c:v>
                </c:pt>
              </c:numCache>
            </c:numRef>
          </c:val>
          <c:extLst>
            <c:ext xmlns:c16="http://schemas.microsoft.com/office/drawing/2014/chart" uri="{C3380CC4-5D6E-409C-BE32-E72D297353CC}">
              <c16:uniqueId val="{00000000-FD83-4094-B548-C09B6EA67926}"/>
            </c:ext>
          </c:extLst>
        </c:ser>
        <c:dLbls>
          <c:showLegendKey val="0"/>
          <c:showVal val="0"/>
          <c:showCatName val="0"/>
          <c:showSerName val="0"/>
          <c:showPercent val="0"/>
          <c:showBubbleSize val="0"/>
        </c:dLbls>
        <c:axId val="386649728"/>
        <c:axId val="549454544"/>
      </c:areaChart>
      <c:catAx>
        <c:axId val="386649728"/>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454544"/>
        <c:crosses val="autoZero"/>
        <c:auto val="1"/>
        <c:lblAlgn val="ctr"/>
        <c:lblOffset val="100"/>
        <c:noMultiLvlLbl val="0"/>
      </c:catAx>
      <c:valAx>
        <c:axId val="549454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66497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80676</xdr:rowOff>
    </xdr:from>
    <xdr:to>
      <xdr:col>6</xdr:col>
      <xdr:colOff>376518</xdr:colOff>
      <xdr:row>20</xdr:row>
      <xdr:rowOff>80677</xdr:rowOff>
    </xdr:to>
    <xdr:graphicFrame macro="">
      <xdr:nvGraphicFramePr>
        <xdr:cNvPr id="3" name="Chart 2">
          <a:extLst>
            <a:ext uri="{FF2B5EF4-FFF2-40B4-BE49-F238E27FC236}">
              <a16:creationId xmlns:a16="http://schemas.microsoft.com/office/drawing/2014/main" id="{B3E6A4BA-99D9-489C-83D6-CEFF0BA7F9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219762</xdr:colOff>
      <xdr:row>5</xdr:row>
      <xdr:rowOff>83948</xdr:rowOff>
    </xdr:from>
    <xdr:to>
      <xdr:col>17</xdr:col>
      <xdr:colOff>219762</xdr:colOff>
      <xdr:row>16</xdr:row>
      <xdr:rowOff>0</xdr:rowOff>
    </xdr:to>
    <mc:AlternateContent xmlns:mc="http://schemas.openxmlformats.org/markup-compatibility/2006">
      <mc:Choice xmlns:a14="http://schemas.microsoft.com/office/drawing/2010/main" Requires="a14">
        <xdr:graphicFrame macro="">
          <xdr:nvGraphicFramePr>
            <xdr:cNvPr id="9" name="Platform">
              <a:extLst>
                <a:ext uri="{FF2B5EF4-FFF2-40B4-BE49-F238E27FC236}">
                  <a16:creationId xmlns:a16="http://schemas.microsoft.com/office/drawing/2014/main" id="{DE3F488F-92C2-4A3F-9A3E-5A22ED099993}"/>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9287562" y="1586177"/>
              <a:ext cx="1828800" cy="1951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53789</xdr:colOff>
      <xdr:row>1</xdr:row>
      <xdr:rowOff>431646</xdr:rowOff>
    </xdr:from>
    <xdr:ext cx="1192305" cy="526683"/>
    <xdr:sp macro="" textlink="'Top Games'!F27">
      <xdr:nvSpPr>
        <xdr:cNvPr id="10" name="TextBox 9">
          <a:extLst>
            <a:ext uri="{FF2B5EF4-FFF2-40B4-BE49-F238E27FC236}">
              <a16:creationId xmlns:a16="http://schemas.microsoft.com/office/drawing/2014/main" id="{EEC288E5-7ED4-4BA0-AECF-058706E7A47E}"/>
            </a:ext>
          </a:extLst>
        </xdr:cNvPr>
        <xdr:cNvSpPr txBox="1"/>
      </xdr:nvSpPr>
      <xdr:spPr>
        <a:xfrm>
          <a:off x="1201271" y="897811"/>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C373D7C-FB20-4E43-B5D5-1E05AABF9BAF}"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pPr/>
            <a:t>12225</a:t>
          </a:fld>
          <a:endParaRPr lang="en-IN" sz="3000">
            <a:solidFill>
              <a:schemeClr val="accent6">
                <a:lumMod val="60000"/>
                <a:lumOff val="40000"/>
              </a:schemeClr>
            </a:solidFill>
            <a:latin typeface="Berlin Sans FB Demi" panose="020E0802020502020306" pitchFamily="34" charset="0"/>
          </a:endParaRPr>
        </a:p>
      </xdr:txBody>
    </xdr:sp>
    <xdr:clientData/>
  </xdr:oneCellAnchor>
  <xdr:oneCellAnchor>
    <xdr:from>
      <xdr:col>6</xdr:col>
      <xdr:colOff>502023</xdr:colOff>
      <xdr:row>1</xdr:row>
      <xdr:rowOff>413717</xdr:rowOff>
    </xdr:from>
    <xdr:ext cx="1192305" cy="526683"/>
    <xdr:sp macro="" textlink="'Top Games'!F40">
      <xdr:nvSpPr>
        <xdr:cNvPr id="12" name="TextBox 11">
          <a:extLst>
            <a:ext uri="{FF2B5EF4-FFF2-40B4-BE49-F238E27FC236}">
              <a16:creationId xmlns:a16="http://schemas.microsoft.com/office/drawing/2014/main" id="{98646475-BC6D-4B48-A0CF-0ED4ED821EFE}"/>
            </a:ext>
          </a:extLst>
        </xdr:cNvPr>
        <xdr:cNvSpPr txBox="1"/>
      </xdr:nvSpPr>
      <xdr:spPr>
        <a:xfrm>
          <a:off x="4697505" y="879882"/>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2E72881-6118-41FB-9FA7-C16488CBFDCB}"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pPr/>
            <a:t>5140</a:t>
          </a:fld>
          <a:endParaRPr lang="en-IN" sz="3000">
            <a:solidFill>
              <a:schemeClr val="accent6">
                <a:lumMod val="60000"/>
                <a:lumOff val="40000"/>
              </a:schemeClr>
            </a:solidFill>
            <a:latin typeface="Berlin Sans FB Demi" panose="020E0802020502020306" pitchFamily="34" charset="0"/>
          </a:endParaRPr>
        </a:p>
      </xdr:txBody>
    </xdr:sp>
    <xdr:clientData/>
  </xdr:oneCellAnchor>
  <xdr:twoCellAnchor>
    <xdr:from>
      <xdr:col>6</xdr:col>
      <xdr:colOff>466162</xdr:colOff>
      <xdr:row>5</xdr:row>
      <xdr:rowOff>71720</xdr:rowOff>
    </xdr:from>
    <xdr:to>
      <xdr:col>14</xdr:col>
      <xdr:colOff>161362</xdr:colOff>
      <xdr:row>20</xdr:row>
      <xdr:rowOff>89650</xdr:rowOff>
    </xdr:to>
    <xdr:graphicFrame macro="">
      <xdr:nvGraphicFramePr>
        <xdr:cNvPr id="13" name="Chart 12">
          <a:extLst>
            <a:ext uri="{FF2B5EF4-FFF2-40B4-BE49-F238E27FC236}">
              <a16:creationId xmlns:a16="http://schemas.microsoft.com/office/drawing/2014/main" id="{F677190B-B4E9-4787-BDDE-6D976E24F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137671</xdr:rowOff>
    </xdr:from>
    <xdr:to>
      <xdr:col>6</xdr:col>
      <xdr:colOff>370114</xdr:colOff>
      <xdr:row>36</xdr:row>
      <xdr:rowOff>76200</xdr:rowOff>
    </xdr:to>
    <xdr:graphicFrame macro="">
      <xdr:nvGraphicFramePr>
        <xdr:cNvPr id="14" name="Chart 13">
          <a:extLst>
            <a:ext uri="{FF2B5EF4-FFF2-40B4-BE49-F238E27FC236}">
              <a16:creationId xmlns:a16="http://schemas.microsoft.com/office/drawing/2014/main" id="{8150C28F-D979-471A-8661-2D08CE53C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12</xdr:col>
      <xdr:colOff>17929</xdr:colOff>
      <xdr:row>1</xdr:row>
      <xdr:rowOff>449575</xdr:rowOff>
    </xdr:from>
    <xdr:ext cx="1192305" cy="526683"/>
    <xdr:sp macro="" textlink="'Top Games'!H27">
      <xdr:nvSpPr>
        <xdr:cNvPr id="15" name="TextBox 14">
          <a:extLst>
            <a:ext uri="{FF2B5EF4-FFF2-40B4-BE49-F238E27FC236}">
              <a16:creationId xmlns:a16="http://schemas.microsoft.com/office/drawing/2014/main" id="{40A37221-3A81-41B0-809F-C7DCCB29B2B5}"/>
            </a:ext>
          </a:extLst>
        </xdr:cNvPr>
        <xdr:cNvSpPr txBox="1"/>
      </xdr:nvSpPr>
      <xdr:spPr>
        <a:xfrm>
          <a:off x="7871011" y="915740"/>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978A5C-2A31-4590-ACB2-AEEAE5CEE929}"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pPr/>
            <a:t>20</a:t>
          </a:fld>
          <a:endParaRPr lang="en-IN" sz="3000">
            <a:solidFill>
              <a:schemeClr val="accent6">
                <a:lumMod val="60000"/>
                <a:lumOff val="40000"/>
              </a:schemeClr>
            </a:solidFill>
            <a:latin typeface="Berlin Sans FB Demi" panose="020E0802020502020306" pitchFamily="34" charset="0"/>
          </a:endParaRPr>
        </a:p>
      </xdr:txBody>
    </xdr:sp>
    <xdr:clientData/>
  </xdr:oneCellAnchor>
  <xdr:oneCellAnchor>
    <xdr:from>
      <xdr:col>17</xdr:col>
      <xdr:colOff>17929</xdr:colOff>
      <xdr:row>1</xdr:row>
      <xdr:rowOff>449575</xdr:rowOff>
    </xdr:from>
    <xdr:ext cx="1192305" cy="526683"/>
    <xdr:sp macro="" textlink="'Top Games'!K27">
      <xdr:nvSpPr>
        <xdr:cNvPr id="16" name="TextBox 15">
          <a:extLst>
            <a:ext uri="{FF2B5EF4-FFF2-40B4-BE49-F238E27FC236}">
              <a16:creationId xmlns:a16="http://schemas.microsoft.com/office/drawing/2014/main" id="{E757AB28-AC4E-40B4-98B5-D9F3D656F957}"/>
            </a:ext>
          </a:extLst>
        </xdr:cNvPr>
        <xdr:cNvSpPr txBox="1"/>
      </xdr:nvSpPr>
      <xdr:spPr>
        <a:xfrm>
          <a:off x="10919011" y="915740"/>
          <a:ext cx="1192305" cy="5266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6BF9D9B-C454-4CF5-B730-AD2249F367DA}" type="TxLink">
            <a:rPr lang="en-US" sz="3000" b="0" i="0" u="none" strike="noStrike">
              <a:solidFill>
                <a:schemeClr val="accent6">
                  <a:lumMod val="60000"/>
                  <a:lumOff val="40000"/>
                </a:schemeClr>
              </a:solidFill>
              <a:latin typeface="Berlin Sans FB Demi" panose="020E0802020502020306" pitchFamily="34" charset="0"/>
              <a:ea typeface="Calibri"/>
              <a:cs typeface="Calibri"/>
            </a:rPr>
            <a:pPr/>
            <a:t>810</a:t>
          </a:fld>
          <a:endParaRPr lang="en-IN" sz="3000">
            <a:solidFill>
              <a:schemeClr val="accent6">
                <a:lumMod val="60000"/>
                <a:lumOff val="40000"/>
              </a:schemeClr>
            </a:solidFill>
            <a:latin typeface="Berlin Sans FB Demi" panose="020E0802020502020306" pitchFamily="34" charset="0"/>
          </a:endParaRPr>
        </a:p>
      </xdr:txBody>
    </xdr:sp>
    <xdr:clientData/>
  </xdr:oneCellAnchor>
  <xdr:twoCellAnchor editAs="oneCell">
    <xdr:from>
      <xdr:col>17</xdr:col>
      <xdr:colOff>267787</xdr:colOff>
      <xdr:row>5</xdr:row>
      <xdr:rowOff>82732</xdr:rowOff>
    </xdr:from>
    <xdr:to>
      <xdr:col>19</xdr:col>
      <xdr:colOff>555170</xdr:colOff>
      <xdr:row>11</xdr:row>
      <xdr:rowOff>108858</xdr:rowOff>
    </xdr:to>
    <mc:AlternateContent xmlns:mc="http://schemas.openxmlformats.org/markup-compatibility/2006">
      <mc:Choice xmlns:a14="http://schemas.microsoft.com/office/drawing/2010/main" Requires="a14">
        <xdr:graphicFrame macro="">
          <xdr:nvGraphicFramePr>
            <xdr:cNvPr id="17" name="Free/Paid">
              <a:extLst>
                <a:ext uri="{FF2B5EF4-FFF2-40B4-BE49-F238E27FC236}">
                  <a16:creationId xmlns:a16="http://schemas.microsoft.com/office/drawing/2014/main" id="{CAA18D32-B7B4-4615-8D8B-B7C3B441C18C}"/>
                </a:ext>
              </a:extLst>
            </xdr:cNvPr>
            <xdr:cNvGraphicFramePr/>
          </xdr:nvGraphicFramePr>
          <xdr:xfrm>
            <a:off x="0" y="0"/>
            <a:ext cx="0" cy="0"/>
          </xdr:xfrm>
          <a:graphic>
            <a:graphicData uri="http://schemas.microsoft.com/office/drawing/2010/slicer">
              <sle:slicer xmlns:sle="http://schemas.microsoft.com/office/drawing/2010/slicer" name="Free/Paid"/>
            </a:graphicData>
          </a:graphic>
        </xdr:graphicFrame>
      </mc:Choice>
      <mc:Fallback>
        <xdr:sp macro="" textlink="">
          <xdr:nvSpPr>
            <xdr:cNvPr id="0" name=""/>
            <xdr:cNvSpPr>
              <a:spLocks noTextEdit="1"/>
            </xdr:cNvSpPr>
          </xdr:nvSpPr>
          <xdr:spPr>
            <a:xfrm>
              <a:off x="11164387" y="1584961"/>
              <a:ext cx="1506583" cy="11364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457199</xdr:colOff>
      <xdr:row>20</xdr:row>
      <xdr:rowOff>152399</xdr:rowOff>
    </xdr:from>
    <xdr:to>
      <xdr:col>14</xdr:col>
      <xdr:colOff>174170</xdr:colOff>
      <xdr:row>36</xdr:row>
      <xdr:rowOff>65315</xdr:rowOff>
    </xdr:to>
    <xdr:graphicFrame macro="">
      <xdr:nvGraphicFramePr>
        <xdr:cNvPr id="18" name="Chart 17">
          <a:extLst>
            <a:ext uri="{FF2B5EF4-FFF2-40B4-BE49-F238E27FC236}">
              <a16:creationId xmlns:a16="http://schemas.microsoft.com/office/drawing/2014/main" id="{F6DEC00A-7FA7-4F66-86EE-2A01108B8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213357</xdr:colOff>
      <xdr:row>16</xdr:row>
      <xdr:rowOff>50074</xdr:rowOff>
    </xdr:from>
    <xdr:to>
      <xdr:col>17</xdr:col>
      <xdr:colOff>213357</xdr:colOff>
      <xdr:row>36</xdr:row>
      <xdr:rowOff>97971</xdr:rowOff>
    </xdr:to>
    <mc:AlternateContent xmlns:mc="http://schemas.openxmlformats.org/markup-compatibility/2006">
      <mc:Choice xmlns:a14="http://schemas.microsoft.com/office/drawing/2010/main" Requires="a14">
        <xdr:graphicFrame macro="">
          <xdr:nvGraphicFramePr>
            <xdr:cNvPr id="19" name="Peak Year">
              <a:extLst>
                <a:ext uri="{FF2B5EF4-FFF2-40B4-BE49-F238E27FC236}">
                  <a16:creationId xmlns:a16="http://schemas.microsoft.com/office/drawing/2014/main" id="{AD11E70B-E9AB-40CE-BA92-E6621B405148}"/>
                </a:ext>
              </a:extLst>
            </xdr:cNvPr>
            <xdr:cNvGraphicFramePr/>
          </xdr:nvGraphicFramePr>
          <xdr:xfrm>
            <a:off x="0" y="0"/>
            <a:ext cx="0" cy="0"/>
          </xdr:xfrm>
          <a:graphic>
            <a:graphicData uri="http://schemas.microsoft.com/office/drawing/2010/slicer">
              <sle:slicer xmlns:sle="http://schemas.microsoft.com/office/drawing/2010/slicer" name="Peak Year"/>
            </a:graphicData>
          </a:graphic>
        </xdr:graphicFrame>
      </mc:Choice>
      <mc:Fallback>
        <xdr:sp macro="" textlink="">
          <xdr:nvSpPr>
            <xdr:cNvPr id="0" name=""/>
            <xdr:cNvSpPr>
              <a:spLocks noTextEdit="1"/>
            </xdr:cNvSpPr>
          </xdr:nvSpPr>
          <xdr:spPr>
            <a:xfrm>
              <a:off x="9281157" y="3587931"/>
              <a:ext cx="1828800" cy="3749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267785</xdr:colOff>
      <xdr:row>11</xdr:row>
      <xdr:rowOff>148045</xdr:rowOff>
    </xdr:from>
    <xdr:to>
      <xdr:col>19</xdr:col>
      <xdr:colOff>511626</xdr:colOff>
      <xdr:row>36</xdr:row>
      <xdr:rowOff>76199</xdr:rowOff>
    </xdr:to>
    <mc:AlternateContent xmlns:mc="http://schemas.openxmlformats.org/markup-compatibility/2006">
      <mc:Choice xmlns:a14="http://schemas.microsoft.com/office/drawing/2010/main" Requires="a14">
        <xdr:graphicFrame macro="">
          <xdr:nvGraphicFramePr>
            <xdr:cNvPr id="25" name="Genre">
              <a:extLst>
                <a:ext uri="{FF2B5EF4-FFF2-40B4-BE49-F238E27FC236}">
                  <a16:creationId xmlns:a16="http://schemas.microsoft.com/office/drawing/2014/main" id="{E837A30D-AB7E-44A9-A597-2979437DD4F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dr:sp macro="" textlink="">
          <xdr:nvSpPr>
            <xdr:cNvPr id="0" name=""/>
            <xdr:cNvSpPr>
              <a:spLocks noTextEdit="1"/>
            </xdr:cNvSpPr>
          </xdr:nvSpPr>
          <xdr:spPr>
            <a:xfrm>
              <a:off x="11164385" y="2760616"/>
              <a:ext cx="1463041" cy="4554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7.80370960648" createdVersion="6" refreshedVersion="6" minRefreshableVersion="3" recordCount="20" xr:uid="{A369DE18-E2C3-4611-AE80-0FFE8C516613}">
  <cacheSource type="worksheet">
    <worksheetSource name="Table1"/>
  </cacheSource>
  <cacheFields count="10">
    <cacheField name="Rank" numFmtId="0">
      <sharedItems containsSemiMixedTypes="0" containsString="0" containsNumber="1" containsInteger="1" minValue="1" maxValue="20" count="20">
        <n v="1"/>
        <n v="2"/>
        <n v="3"/>
        <n v="4"/>
        <n v="5"/>
        <n v="6"/>
        <n v="7"/>
        <n v="8"/>
        <n v="9"/>
        <n v="10"/>
        <n v="11"/>
        <n v="12"/>
        <n v="13"/>
        <n v="14"/>
        <n v="15"/>
        <n v="16"/>
        <n v="17"/>
        <n v="18"/>
        <n v="19"/>
        <n v="20"/>
      </sharedItems>
    </cacheField>
    <cacheField name="Game Title" numFmtId="0">
      <sharedItems count="20">
        <s v="BGMI / PUBG Mobile"/>
        <s v="Free Fire MAX"/>
        <s v="Ludo King"/>
        <s v="Candy Crush Saga"/>
        <s v="Call of Duty Mobile"/>
        <s v="Minecraft"/>
        <s v="Clash of Clans"/>
        <s v="Dream11 Fantasy"/>
        <s v="GTA V"/>
        <s v="FIFA / EA Sports FC"/>
        <s v="Among Us"/>
        <s v="Valorant"/>
        <s v="Temple Run 2"/>
        <s v="Subway Surfers"/>
        <s v="Pokemon GO"/>
        <s v="Mobile Legends"/>
        <s v="8 Ball Pool"/>
        <s v="Roblox"/>
        <s v="Clash Royale"/>
        <s v="Real Cricket"/>
      </sharedItems>
    </cacheField>
    <cacheField name="Genre" numFmtId="0">
      <sharedItems count="15">
        <s v="Battle Royale"/>
        <s v="Board"/>
        <s v="Puzzle"/>
        <s v="FPS"/>
        <s v="Sandbox"/>
        <s v="Strategy"/>
        <s v="Fantasy Sports"/>
        <s v="Action"/>
        <s v="Sports"/>
        <s v="Social Deduction"/>
        <s v="FPS/Tactical"/>
        <s v="Endless Runner"/>
        <s v="AR Adventure"/>
        <s v="MOBA"/>
        <s v="Metaverse"/>
      </sharedItems>
    </cacheField>
    <cacheField name="Platform" numFmtId="0">
      <sharedItems count="6">
        <s v="Mobile"/>
        <s v="PC/Mobile"/>
        <s v="PC/Console"/>
        <s v="PC/Console/Mobile"/>
        <s v="Mobile/PC"/>
        <s v="PC"/>
      </sharedItems>
    </cacheField>
    <cacheField name="Active Players (Mn)" numFmtId="0">
      <sharedItems containsSemiMixedTypes="0" containsString="0" containsNumber="1" containsInteger="1" minValue="10" maxValue="120"/>
    </cacheField>
    <cacheField name="Downloads (Mn)" numFmtId="0">
      <sharedItems containsSemiMixedTypes="0" containsString="0" containsNumber="1" containsInteger="1" minValue="20" maxValue="800" count="18">
        <n v="350"/>
        <n v="400"/>
        <n v="700"/>
        <n v="500"/>
        <n v="280"/>
        <n v="80"/>
        <n v="300"/>
        <n v="250"/>
        <n v="20"/>
        <n v="90"/>
        <n v="150"/>
        <n v="30"/>
        <n v="600"/>
        <n v="800"/>
        <n v="40"/>
        <n v="200"/>
        <n v="60"/>
        <n v="120"/>
      </sharedItems>
    </cacheField>
    <cacheField name="Revenue (₹ Cr)" numFmtId="0">
      <sharedItems containsSemiMixedTypes="0" containsString="0" containsNumber="1" containsInteger="1" minValue="30" maxValue="3200" count="18">
        <n v="1850"/>
        <n v="1200"/>
        <n v="180"/>
        <n v="420"/>
        <n v="980"/>
        <n v="650"/>
        <n v="560"/>
        <n v="3200"/>
        <n v="380"/>
        <n v="45"/>
        <n v="780"/>
        <n v="30"/>
        <n v="60"/>
        <n v="240"/>
        <n v="95"/>
        <n v="350"/>
        <n v="280"/>
        <n v="85"/>
      </sharedItems>
    </cacheField>
    <cacheField name="Avg Rating" numFmtId="0">
      <sharedItems containsSemiMixedTypes="0" containsString="0" containsNumber="1" minValue="4" maxValue="4.7"/>
    </cacheField>
    <cacheField name="Free/Paid" numFmtId="0">
      <sharedItems count="3">
        <s v="Free"/>
        <s v="Paid"/>
        <s v="Free/Paid"/>
      </sharedItems>
    </cacheField>
    <cacheField name="Peak Year" numFmtId="0">
      <sharedItems count="11">
        <s v="2021-24"/>
        <s v="2020-24"/>
        <s v="2018-24"/>
        <s v="2019-24"/>
        <s v="2016-24"/>
        <s v="2015-24"/>
        <s v="2020-22"/>
        <s v="2022-24"/>
        <s v="2014-24"/>
        <s v="2013-24"/>
        <s v="2017-24"/>
      </sharedItems>
    </cacheField>
  </cacheFields>
  <extLst>
    <ext xmlns:x14="http://schemas.microsoft.com/office/spreadsheetml/2009/9/main" uri="{725AE2AE-9491-48be-B2B4-4EB974FC3084}">
      <x14:pivotCacheDefinition pivotCacheId="16625008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120"/>
    <x v="0"/>
    <x v="0"/>
    <n v="4.3"/>
    <x v="0"/>
    <x v="0"/>
  </r>
  <r>
    <x v="1"/>
    <x v="1"/>
    <x v="0"/>
    <x v="0"/>
    <n v="95"/>
    <x v="1"/>
    <x v="1"/>
    <n v="4.0999999999999996"/>
    <x v="0"/>
    <x v="1"/>
  </r>
  <r>
    <x v="2"/>
    <x v="2"/>
    <x v="1"/>
    <x v="0"/>
    <n v="90"/>
    <x v="2"/>
    <x v="2"/>
    <n v="4.4000000000000004"/>
    <x v="0"/>
    <x v="1"/>
  </r>
  <r>
    <x v="3"/>
    <x v="3"/>
    <x v="2"/>
    <x v="0"/>
    <n v="75"/>
    <x v="3"/>
    <x v="3"/>
    <n v="4.2"/>
    <x v="0"/>
    <x v="2"/>
  </r>
  <r>
    <x v="4"/>
    <x v="4"/>
    <x v="3"/>
    <x v="0"/>
    <n v="60"/>
    <x v="4"/>
    <x v="4"/>
    <n v="4.2"/>
    <x v="0"/>
    <x v="0"/>
  </r>
  <r>
    <x v="5"/>
    <x v="5"/>
    <x v="4"/>
    <x v="1"/>
    <n v="45"/>
    <x v="5"/>
    <x v="5"/>
    <n v="4.7"/>
    <x v="1"/>
    <x v="3"/>
  </r>
  <r>
    <x v="6"/>
    <x v="6"/>
    <x v="5"/>
    <x v="0"/>
    <n v="42"/>
    <x v="6"/>
    <x v="6"/>
    <n v="4.3"/>
    <x v="0"/>
    <x v="4"/>
  </r>
  <r>
    <x v="7"/>
    <x v="7"/>
    <x v="6"/>
    <x v="0"/>
    <n v="40"/>
    <x v="7"/>
    <x v="7"/>
    <n v="4"/>
    <x v="0"/>
    <x v="1"/>
  </r>
  <r>
    <x v="8"/>
    <x v="8"/>
    <x v="7"/>
    <x v="2"/>
    <n v="35"/>
    <x v="8"/>
    <x v="3"/>
    <n v="4.5999999999999996"/>
    <x v="1"/>
    <x v="5"/>
  </r>
  <r>
    <x v="9"/>
    <x v="9"/>
    <x v="8"/>
    <x v="3"/>
    <n v="32"/>
    <x v="9"/>
    <x v="8"/>
    <n v="4.3"/>
    <x v="2"/>
    <x v="1"/>
  </r>
  <r>
    <x v="10"/>
    <x v="10"/>
    <x v="9"/>
    <x v="4"/>
    <n v="28"/>
    <x v="10"/>
    <x v="9"/>
    <n v="4"/>
    <x v="0"/>
    <x v="6"/>
  </r>
  <r>
    <x v="11"/>
    <x v="11"/>
    <x v="10"/>
    <x v="5"/>
    <n v="25"/>
    <x v="11"/>
    <x v="10"/>
    <n v="4.5"/>
    <x v="0"/>
    <x v="7"/>
  </r>
  <r>
    <x v="12"/>
    <x v="12"/>
    <x v="11"/>
    <x v="0"/>
    <n v="22"/>
    <x v="12"/>
    <x v="11"/>
    <n v="4.2"/>
    <x v="0"/>
    <x v="8"/>
  </r>
  <r>
    <x v="13"/>
    <x v="13"/>
    <x v="11"/>
    <x v="0"/>
    <n v="20"/>
    <x v="13"/>
    <x v="12"/>
    <n v="4.3"/>
    <x v="0"/>
    <x v="9"/>
  </r>
  <r>
    <x v="14"/>
    <x v="14"/>
    <x v="12"/>
    <x v="0"/>
    <n v="18"/>
    <x v="14"/>
    <x v="13"/>
    <n v="4"/>
    <x v="0"/>
    <x v="4"/>
  </r>
  <r>
    <x v="15"/>
    <x v="15"/>
    <x v="13"/>
    <x v="0"/>
    <n v="15"/>
    <x v="5"/>
    <x v="3"/>
    <n v="4.0999999999999996"/>
    <x v="0"/>
    <x v="0"/>
  </r>
  <r>
    <x v="16"/>
    <x v="16"/>
    <x v="8"/>
    <x v="0"/>
    <n v="14"/>
    <x v="15"/>
    <x v="14"/>
    <n v="4.3"/>
    <x v="0"/>
    <x v="10"/>
  </r>
  <r>
    <x v="17"/>
    <x v="17"/>
    <x v="14"/>
    <x v="4"/>
    <n v="13"/>
    <x v="16"/>
    <x v="15"/>
    <n v="4.0999999999999996"/>
    <x v="0"/>
    <x v="0"/>
  </r>
  <r>
    <x v="18"/>
    <x v="18"/>
    <x v="5"/>
    <x v="0"/>
    <n v="11"/>
    <x v="17"/>
    <x v="16"/>
    <n v="4.2"/>
    <x v="0"/>
    <x v="3"/>
  </r>
  <r>
    <x v="19"/>
    <x v="19"/>
    <x v="8"/>
    <x v="0"/>
    <n v="10"/>
    <x v="9"/>
    <x v="17"/>
    <n v="4.3"/>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B2328B-753F-4DD7-9CD9-0FBDD851DEA7}"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25:F26" firstHeaderRow="1" firstDataRow="1" firstDataCol="0"/>
  <pivotFields count="10">
    <pivotField showAll="0"/>
    <pivotField showAll="0" measureFilter="1">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showAll="0"/>
    <pivotField showAll="0"/>
    <pivotField dataField="1"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Revenue (₹ Cr)"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BD4826-891E-4F00-81AB-EC031EFDAE44}" name="PivotTable2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H25:H26"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dataField="1" showAll="0">
      <items count="7">
        <item x="0"/>
        <item x="4"/>
        <item x="5"/>
        <item x="2"/>
        <item x="3"/>
        <item x="1"/>
        <item t="default"/>
      </items>
    </pivotField>
    <pivotField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Count of Platform"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A09785-AF67-482E-A5BE-900648B3B1F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5:D31"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axis="axisRow" showAll="0" measureFilter="1">
      <items count="21">
        <item x="16"/>
        <item x="10"/>
        <item x="0"/>
        <item x="4"/>
        <item x="3"/>
        <item x="6"/>
        <item x="18"/>
        <item x="7"/>
        <item x="9"/>
        <item x="1"/>
        <item x="8"/>
        <item x="2"/>
        <item x="5"/>
        <item x="15"/>
        <item x="14"/>
        <item x="19"/>
        <item x="17"/>
        <item x="13"/>
        <item x="12"/>
        <item x="11"/>
        <item t="default"/>
      </items>
    </pivotField>
    <pivotField showAll="0">
      <items count="16">
        <item x="7"/>
        <item x="12"/>
        <item x="0"/>
        <item x="1"/>
        <item x="11"/>
        <item x="6"/>
        <item x="3"/>
        <item x="10"/>
        <item x="14"/>
        <item x="13"/>
        <item x="2"/>
        <item x="4"/>
        <item x="9"/>
        <item x="8"/>
        <item x="5"/>
        <item t="default"/>
      </items>
    </pivotField>
    <pivotField showAll="0">
      <items count="7">
        <item x="0"/>
        <item x="4"/>
        <item x="5"/>
        <item x="2"/>
        <item x="3"/>
        <item x="1"/>
        <item t="default"/>
      </items>
    </pivotField>
    <pivotField showAll="0"/>
    <pivotField showAll="0">
      <items count="19">
        <item x="8"/>
        <item x="11"/>
        <item x="14"/>
        <item x="16"/>
        <item x="5"/>
        <item x="9"/>
        <item x="17"/>
        <item x="10"/>
        <item x="15"/>
        <item x="7"/>
        <item x="4"/>
        <item x="6"/>
        <item x="0"/>
        <item x="1"/>
        <item x="3"/>
        <item x="12"/>
        <item x="2"/>
        <item x="13"/>
        <item t="default"/>
      </items>
    </pivotField>
    <pivotField dataField="1" showAll="0">
      <items count="19">
        <item x="11"/>
        <item x="9"/>
        <item x="12"/>
        <item x="17"/>
        <item x="14"/>
        <item x="2"/>
        <item x="13"/>
        <item x="16"/>
        <item x="15"/>
        <item x="8"/>
        <item x="3"/>
        <item x="6"/>
        <item x="5"/>
        <item x="10"/>
        <item x="4"/>
        <item x="1"/>
        <item x="0"/>
        <item x="7"/>
        <item t="default"/>
      </items>
    </pivotField>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1"/>
  </rowFields>
  <rowItems count="6">
    <i>
      <x v="2"/>
    </i>
    <i>
      <x v="3"/>
    </i>
    <i>
      <x v="7"/>
    </i>
    <i>
      <x v="9"/>
    </i>
    <i>
      <x v="19"/>
    </i>
    <i t="grand">
      <x/>
    </i>
  </rowItems>
  <colItems count="1">
    <i/>
  </colItems>
  <dataFields count="1">
    <dataField name="Sum of Revenue (₹ Cr)" fld="6"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D698C9D-BC3B-401A-96D2-1D648418C5D0}" name="PivotTable1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F38:F39"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showAll="0"/>
    <pivotField dataField="1"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Downloads (M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F6FF3B-DD9B-499E-9487-E7C30C85BB2F}" name="PivotTable1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F29:G36"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showAll="0">
      <items count="21">
        <item x="16"/>
        <item x="10"/>
        <item x="0"/>
        <item x="4"/>
        <item x="3"/>
        <item x="6"/>
        <item x="18"/>
        <item x="7"/>
        <item x="9"/>
        <item x="1"/>
        <item x="8"/>
        <item x="2"/>
        <item x="5"/>
        <item x="15"/>
        <item x="14"/>
        <item x="19"/>
        <item x="17"/>
        <item x="13"/>
        <item x="12"/>
        <item x="11"/>
        <item t="default"/>
      </items>
    </pivotField>
    <pivotField showAll="0"/>
    <pivotField axis="axisRow" showAll="0">
      <items count="7">
        <item x="0"/>
        <item x="4"/>
        <item x="5"/>
        <item x="2"/>
        <item x="3"/>
        <item x="1"/>
        <item t="default"/>
      </items>
    </pivotField>
    <pivotField showAll="0"/>
    <pivotField showAll="0"/>
    <pivotField showAll="0"/>
    <pivotField dataField="1"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3"/>
  </rowFields>
  <rowItems count="7">
    <i>
      <x/>
    </i>
    <i>
      <x v="1"/>
    </i>
    <i>
      <x v="2"/>
    </i>
    <i>
      <x v="3"/>
    </i>
    <i>
      <x v="4"/>
    </i>
    <i>
      <x v="5"/>
    </i>
    <i t="grand">
      <x/>
    </i>
  </rowItems>
  <colItems count="1">
    <i/>
  </colItems>
  <dataFields count="1">
    <dataField name="Sum of Avg Rating" fld="7"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752B676-894E-49B6-AD70-BDC6DFC418CB}"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C35:D42" firstHeaderRow="1" firstDataRow="1" firstDataCol="1"/>
  <pivotFields count="10">
    <pivotField showAll="0">
      <items count="21">
        <item x="0"/>
        <item h="1" x="1"/>
        <item h="1" x="2"/>
        <item h="1" x="3"/>
        <item h="1" x="4"/>
        <item h="1" x="5"/>
        <item h="1" x="6"/>
        <item h="1" x="7"/>
        <item h="1" x="8"/>
        <item h="1" x="9"/>
        <item h="1" x="10"/>
        <item h="1" x="11"/>
        <item h="1" x="12"/>
        <item h="1" x="13"/>
        <item h="1" x="14"/>
        <item h="1" x="15"/>
        <item h="1" x="16"/>
        <item h="1" x="17"/>
        <item h="1" x="18"/>
        <item h="1" x="19"/>
        <item t="default"/>
      </items>
    </pivotField>
    <pivotField showAll="0">
      <items count="21">
        <item x="16"/>
        <item x="10"/>
        <item x="0"/>
        <item x="4"/>
        <item x="3"/>
        <item x="6"/>
        <item x="18"/>
        <item x="7"/>
        <item x="9"/>
        <item x="1"/>
        <item x="8"/>
        <item x="2"/>
        <item x="5"/>
        <item x="15"/>
        <item x="14"/>
        <item x="19"/>
        <item x="17"/>
        <item x="13"/>
        <item x="12"/>
        <item x="11"/>
        <item t="default"/>
      </items>
    </pivotField>
    <pivotField showAll="0"/>
    <pivotField axis="axisRow" showAll="0">
      <items count="7">
        <item x="0"/>
        <item x="4"/>
        <item x="5"/>
        <item x="2"/>
        <item x="3"/>
        <item x="1"/>
        <item t="default"/>
      </items>
    </pivotField>
    <pivotField dataField="1"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3"/>
  </rowFields>
  <rowItems count="7">
    <i>
      <x/>
    </i>
    <i>
      <x v="1"/>
    </i>
    <i>
      <x v="2"/>
    </i>
    <i>
      <x v="3"/>
    </i>
    <i>
      <x v="4"/>
    </i>
    <i>
      <x v="5"/>
    </i>
    <i t="grand">
      <x/>
    </i>
  </rowItems>
  <colItems count="1">
    <i/>
  </colItems>
  <dataFields count="1">
    <dataField name="Sum of Active Players (Mn)" fld="4" baseField="0" baseItem="0"/>
  </dataFields>
  <chartFormats count="7">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3" count="1" selected="0">
            <x v="0"/>
          </reference>
        </references>
      </pivotArea>
    </chartFormat>
    <chartFormat chart="7" format="10">
      <pivotArea type="data" outline="0" fieldPosition="0">
        <references count="2">
          <reference field="4294967294" count="1" selected="0">
            <x v="0"/>
          </reference>
          <reference field="3" count="1" selected="0">
            <x v="1"/>
          </reference>
        </references>
      </pivotArea>
    </chartFormat>
    <chartFormat chart="7" format="11">
      <pivotArea type="data" outline="0" fieldPosition="0">
        <references count="2">
          <reference field="4294967294" count="1" selected="0">
            <x v="0"/>
          </reference>
          <reference field="3" count="1" selected="0">
            <x v="2"/>
          </reference>
        </references>
      </pivotArea>
    </chartFormat>
    <chartFormat chart="7" format="12">
      <pivotArea type="data" outline="0" fieldPosition="0">
        <references count="2">
          <reference field="4294967294" count="1" selected="0">
            <x v="0"/>
          </reference>
          <reference field="3" count="1" selected="0">
            <x v="3"/>
          </reference>
        </references>
      </pivotArea>
    </chartFormat>
    <chartFormat chart="7" format="13">
      <pivotArea type="data" outline="0" fieldPosition="0">
        <references count="2">
          <reference field="4294967294" count="1" selected="0">
            <x v="0"/>
          </reference>
          <reference field="3" count="1" selected="0">
            <x v="4"/>
          </reference>
        </references>
      </pivotArea>
    </chartFormat>
    <chartFormat chart="7" format="14">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C0C4ABA-F56E-474D-9220-1F8B4DCB9800}" name="PivotTable2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K29:L50" firstHeaderRow="1" firstDataRow="1" firstDataCol="1"/>
  <pivotFields count="10">
    <pivotField showAll="0"/>
    <pivotField axis="axisRow" showAll="0" sortType="descending">
      <items count="21">
        <item x="16"/>
        <item x="10"/>
        <item x="0"/>
        <item x="4"/>
        <item x="3"/>
        <item x="6"/>
        <item x="18"/>
        <item x="7"/>
        <item x="9"/>
        <item x="1"/>
        <item x="8"/>
        <item x="2"/>
        <item x="5"/>
        <item x="15"/>
        <item x="14"/>
        <item x="19"/>
        <item x="17"/>
        <item x="13"/>
        <item x="12"/>
        <item x="11"/>
        <item t="default"/>
      </items>
      <autoSortScope>
        <pivotArea dataOnly="0" outline="0" fieldPosition="0">
          <references count="1">
            <reference field="4294967294" count="1" selected="0">
              <x v="0"/>
            </reference>
          </references>
        </pivotArea>
      </autoSortScope>
    </pivotField>
    <pivotField showAll="0"/>
    <pivotField showAll="0">
      <items count="7">
        <item x="0"/>
        <item x="4"/>
        <item x="5"/>
        <item x="2"/>
        <item x="3"/>
        <item x="1"/>
        <item t="default"/>
      </items>
    </pivotField>
    <pivotField showAll="0"/>
    <pivotField dataField="1"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Fields count="1">
    <field x="1"/>
  </rowFields>
  <rowItems count="21">
    <i>
      <x v="17"/>
    </i>
    <i>
      <x v="11"/>
    </i>
    <i>
      <x v="18"/>
    </i>
    <i>
      <x v="4"/>
    </i>
    <i>
      <x v="9"/>
    </i>
    <i>
      <x v="2"/>
    </i>
    <i>
      <x v="5"/>
    </i>
    <i>
      <x v="3"/>
    </i>
    <i>
      <x v="7"/>
    </i>
    <i>
      <x/>
    </i>
    <i>
      <x v="1"/>
    </i>
    <i>
      <x v="6"/>
    </i>
    <i>
      <x v="15"/>
    </i>
    <i>
      <x v="8"/>
    </i>
    <i>
      <x v="13"/>
    </i>
    <i>
      <x v="12"/>
    </i>
    <i>
      <x v="16"/>
    </i>
    <i>
      <x v="14"/>
    </i>
    <i>
      <x v="19"/>
    </i>
    <i>
      <x v="10"/>
    </i>
    <i t="grand">
      <x/>
    </i>
  </rowItems>
  <colItems count="1">
    <i/>
  </colItems>
  <dataFields count="1">
    <dataField name="Sum of Downloads (Mn)" fld="5" baseField="0" baseItem="0"/>
  </dataField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DF8755-4C94-4C87-96B7-99E243449E61}" name="PivotTable2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K25:K26" firstHeaderRow="1" firstDataRow="1" firstDataCol="0"/>
  <pivotFields count="10">
    <pivotField showAll="0"/>
    <pivotField showAll="0">
      <items count="21">
        <item x="16"/>
        <item x="10"/>
        <item x="0"/>
        <item x="4"/>
        <item x="3"/>
        <item x="6"/>
        <item x="18"/>
        <item x="7"/>
        <item x="9"/>
        <item x="1"/>
        <item x="8"/>
        <item x="2"/>
        <item x="5"/>
        <item x="15"/>
        <item x="14"/>
        <item x="19"/>
        <item x="17"/>
        <item x="13"/>
        <item x="12"/>
        <item x="11"/>
        <item t="default"/>
      </items>
    </pivotField>
    <pivotField showAll="0"/>
    <pivotField showAll="0">
      <items count="7">
        <item x="0"/>
        <item x="4"/>
        <item x="5"/>
        <item x="2"/>
        <item x="3"/>
        <item x="1"/>
        <item t="default"/>
      </items>
    </pivotField>
    <pivotField dataField="1" showAll="0"/>
    <pivotField showAll="0"/>
    <pivotField showAll="0"/>
    <pivotField showAll="0"/>
    <pivotField showAll="0">
      <items count="4">
        <item x="0"/>
        <item x="2"/>
        <item x="1"/>
        <item t="default"/>
      </items>
    </pivotField>
    <pivotField showAll="0">
      <items count="12">
        <item x="9"/>
        <item x="8"/>
        <item x="5"/>
        <item x="4"/>
        <item x="10"/>
        <item x="2"/>
        <item x="3"/>
        <item x="6"/>
        <item x="1"/>
        <item x="0"/>
        <item x="7"/>
        <item t="default"/>
      </items>
    </pivotField>
  </pivotFields>
  <rowItems count="1">
    <i/>
  </rowItems>
  <colItems count="1">
    <i/>
  </colItems>
  <dataFields count="1">
    <dataField name="Sum of Active Players (M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8F2D99DD-3E84-4787-A3F0-F5C674A92105}" sourceName="Platform">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6">
        <i x="0" s="1"/>
        <i x="4" s="1"/>
        <i x="5"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ree_Paid" xr10:uid="{80EC05B3-BD13-4E45-88EB-ABA6DC3CD264}" sourceName="Free/Paid">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ak_Year" xr10:uid="{C0E7292B-4BA6-46FB-926E-B9BC77BB2791}" sourceName="Peak Year">
  <pivotTables>
    <pivotTable tabId="2" name="PivotTable10"/>
    <pivotTable tabId="2" name="PivotTable11"/>
    <pivotTable tabId="2" name="PivotTable16"/>
    <pivotTable tabId="2" name="PivotTable17"/>
    <pivotTable tabId="2" name="PivotTable18"/>
    <pivotTable tabId="2" name="PivotTable20"/>
    <pivotTable tabId="2" name="PivotTable21"/>
    <pivotTable tabId="2" name="PivotTable22"/>
  </pivotTables>
  <data>
    <tabular pivotCacheId="1662500897">
      <items count="11">
        <i x="9" s="1"/>
        <i x="8" s="1"/>
        <i x="5" s="1"/>
        <i x="4" s="1"/>
        <i x="10" s="1"/>
        <i x="2" s="1"/>
        <i x="3" s="1"/>
        <i x="6" s="1"/>
        <i x="1" s="1"/>
        <i x="0"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B69B5B51-7873-4A8B-9483-0A49763AAB7E}" sourceName="Genre">
  <pivotTables>
    <pivotTable tabId="2" name="PivotTable10"/>
  </pivotTables>
  <data>
    <tabular pivotCacheId="1662500897">
      <items count="15">
        <i x="7" s="1"/>
        <i x="12" s="1"/>
        <i x="0" s="1"/>
        <i x="1" s="1"/>
        <i x="11" s="1"/>
        <i x="6" s="1"/>
        <i x="3" s="1"/>
        <i x="10" s="1"/>
        <i x="14" s="1"/>
        <i x="13" s="1"/>
        <i x="2" s="1"/>
        <i x="4" s="1"/>
        <i x="9"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F73331E7-7EC2-4F96-A5C4-D0BEAD55C337}" cache="Slicer_Platform" caption="Platform" rowHeight="234950"/>
  <slicer name="Free/Paid" xr10:uid="{969065B1-B877-47F9-8937-A59AD20C6872}" cache="Slicer_Free_Paid" caption="Free/Paid" rowHeight="234950"/>
  <slicer name="Peak Year" xr10:uid="{C642FF19-6134-47F2-BCE6-4D8A066AA06E}" cache="Slicer_Peak_Year" caption="Peak Year" rowHeight="234950"/>
  <slicer name="Genre" xr10:uid="{832E3424-7EFB-4C49-8454-BEF4886FB7D3}" cache="Slicer_Genre" caption="Genr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CF7CFB-309C-426C-A641-7D44972D1D5D}" name="Table1" displayName="Table1" ref="A1:J22" totalsRowCount="1">
  <autoFilter ref="A1:J21" xr:uid="{6E597E1B-E31A-41B7-A6DC-26EBDDB08B6A}"/>
  <tableColumns count="10">
    <tableColumn id="1" xr3:uid="{3FC59A1F-6DED-42FE-84CE-22C6E4F59D4A}" name="Rank"/>
    <tableColumn id="2" xr3:uid="{8D28C257-4B62-4E43-B22F-5D298EB98848}" name="Game Title"/>
    <tableColumn id="3" xr3:uid="{28DFB85B-7593-4F8E-9763-102948389C2E}" name="Genre"/>
    <tableColumn id="4" xr3:uid="{A95AF2D9-1945-48ED-9FC9-6762A664D742}" name="Platform"/>
    <tableColumn id="5" xr3:uid="{636C8508-8D9B-40D7-AD5E-A5F73FE254D5}" name="Active Players (Mn)"/>
    <tableColumn id="6" xr3:uid="{3D8B41C7-FFDB-45A8-BC80-1C21EF455C9C}" name="Downloads (Mn)"/>
    <tableColumn id="7" xr3:uid="{4F9A0E37-41DB-417E-A454-1C81CAA71184}" name="Revenue (₹ Cr)"/>
    <tableColumn id="8" xr3:uid="{4F3B1492-8C3B-43CC-AFBA-A7EE58AB8340}" name="Avg Rating"/>
    <tableColumn id="9" xr3:uid="{D5F474DB-C78B-4120-B228-567A6C7E8B92}" name="Free/Paid"/>
    <tableColumn id="10" xr3:uid="{76D34360-0FFB-4881-B3BB-B729EDFD99D9}" name="Peak 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601BD-7D52-462F-A3B8-F9A411AD0F4C}">
  <dimension ref="A1:T37"/>
  <sheetViews>
    <sheetView showGridLines="0" tabSelected="1" zoomScale="70" zoomScaleNormal="70" workbookViewId="0">
      <selection activeCell="T14" sqref="T14"/>
    </sheetView>
  </sheetViews>
  <sheetFormatPr defaultColWidth="0" defaultRowHeight="14.4" zeroHeight="1" x14ac:dyDescent="0.3"/>
  <cols>
    <col min="1" max="1" width="16.6640625" customWidth="1"/>
    <col min="2" max="20" width="8.88671875" customWidth="1"/>
    <col min="21" max="16384" width="8.88671875" hidden="1"/>
  </cols>
  <sheetData>
    <row r="1" spans="1:20" ht="37.200000000000003" x14ac:dyDescent="0.6">
      <c r="A1" s="5"/>
      <c r="B1" s="5"/>
      <c r="C1" s="5"/>
      <c r="D1" s="5"/>
      <c r="E1" s="10" t="s">
        <v>71</v>
      </c>
      <c r="F1" s="5"/>
      <c r="G1" s="5"/>
      <c r="H1" s="5"/>
      <c r="I1" s="5"/>
      <c r="J1" s="5"/>
      <c r="K1" s="5"/>
      <c r="L1" s="5"/>
      <c r="M1" s="5"/>
      <c r="N1" s="5"/>
      <c r="O1" s="5"/>
      <c r="P1" s="5"/>
      <c r="Q1" s="5"/>
      <c r="R1" s="5"/>
      <c r="S1" s="5"/>
      <c r="T1" s="5"/>
    </row>
    <row r="2" spans="1:20" ht="37.799999999999997" customHeight="1" x14ac:dyDescent="0.3">
      <c r="A2" s="7" t="s">
        <v>72</v>
      </c>
      <c r="B2" s="7"/>
      <c r="C2" s="7"/>
      <c r="D2" s="7"/>
      <c r="E2" s="7"/>
      <c r="F2" s="8" t="s">
        <v>74</v>
      </c>
      <c r="G2" s="8"/>
      <c r="H2" s="8"/>
      <c r="I2" s="8"/>
      <c r="J2" s="8"/>
      <c r="K2" s="9" t="s">
        <v>75</v>
      </c>
      <c r="L2" s="9"/>
      <c r="M2" s="9"/>
      <c r="N2" s="9"/>
      <c r="O2" s="9"/>
      <c r="P2" s="6" t="s">
        <v>76</v>
      </c>
      <c r="Q2" s="6"/>
      <c r="R2" s="6"/>
      <c r="S2" s="6"/>
      <c r="T2" s="6"/>
    </row>
    <row r="3" spans="1:20" ht="14.4" customHeight="1" x14ac:dyDescent="0.3">
      <c r="A3" s="7"/>
      <c r="B3" s="7"/>
      <c r="C3" s="7"/>
      <c r="D3" s="7"/>
      <c r="E3" s="7"/>
      <c r="F3" s="8"/>
      <c r="G3" s="8"/>
      <c r="H3" s="8"/>
      <c r="I3" s="8"/>
      <c r="J3" s="8"/>
      <c r="K3" s="9"/>
      <c r="L3" s="9"/>
      <c r="M3" s="9"/>
      <c r="N3" s="9"/>
      <c r="O3" s="9"/>
      <c r="P3" s="6"/>
      <c r="Q3" s="6"/>
      <c r="R3" s="6"/>
      <c r="S3" s="6"/>
      <c r="T3" s="6"/>
    </row>
    <row r="4" spans="1:20" ht="14.4" customHeight="1" x14ac:dyDescent="0.3">
      <c r="A4" s="7"/>
      <c r="B4" s="7"/>
      <c r="C4" s="7"/>
      <c r="D4" s="7"/>
      <c r="E4" s="7"/>
      <c r="F4" s="8"/>
      <c r="G4" s="8"/>
      <c r="H4" s="8"/>
      <c r="I4" s="8"/>
      <c r="J4" s="8"/>
      <c r="K4" s="9"/>
      <c r="L4" s="9"/>
      <c r="M4" s="9"/>
      <c r="N4" s="9"/>
      <c r="O4" s="9"/>
      <c r="P4" s="6"/>
      <c r="Q4" s="6"/>
      <c r="R4" s="6"/>
      <c r="S4" s="6"/>
      <c r="T4" s="6"/>
    </row>
    <row r="5" spans="1:20" ht="14.4" customHeight="1" x14ac:dyDescent="0.3">
      <c r="A5" s="7"/>
      <c r="B5" s="7"/>
      <c r="C5" s="7"/>
      <c r="D5" s="7"/>
      <c r="E5" s="7"/>
      <c r="F5" s="8"/>
      <c r="G5" s="8"/>
      <c r="H5" s="8"/>
      <c r="I5" s="8"/>
      <c r="J5" s="8"/>
      <c r="K5" s="9"/>
      <c r="L5" s="9"/>
      <c r="M5" s="9"/>
      <c r="N5" s="9"/>
      <c r="O5" s="9"/>
      <c r="P5" s="6"/>
      <c r="Q5" s="6"/>
      <c r="R5" s="6"/>
      <c r="S5" s="6"/>
      <c r="T5" s="6"/>
    </row>
    <row r="6" spans="1:20" x14ac:dyDescent="0.3"/>
    <row r="7" spans="1:20" x14ac:dyDescent="0.3"/>
    <row r="8" spans="1:20" x14ac:dyDescent="0.3"/>
    <row r="9" spans="1:20" x14ac:dyDescent="0.3"/>
    <row r="10" spans="1:20" x14ac:dyDescent="0.3"/>
    <row r="11" spans="1:20" x14ac:dyDescent="0.3"/>
    <row r="12" spans="1:20" x14ac:dyDescent="0.3"/>
    <row r="13" spans="1:20" x14ac:dyDescent="0.3"/>
    <row r="14" spans="1:20" x14ac:dyDescent="0.3"/>
    <row r="15" spans="1:20" x14ac:dyDescent="0.3"/>
    <row r="16" spans="1:20" x14ac:dyDescent="0.3"/>
    <row r="17" spans="20:20" x14ac:dyDescent="0.3"/>
    <row r="18" spans="20:20" x14ac:dyDescent="0.3"/>
    <row r="19" spans="20:20" x14ac:dyDescent="0.3">
      <c r="T19" t="e">
        <f>-DASHBORD!E1</f>
        <v>#VALUE!</v>
      </c>
    </row>
    <row r="20" spans="20:20" x14ac:dyDescent="0.3"/>
    <row r="21" spans="20:20" x14ac:dyDescent="0.3"/>
    <row r="22" spans="20:20" x14ac:dyDescent="0.3"/>
    <row r="23" spans="20:20" x14ac:dyDescent="0.3"/>
    <row r="24" spans="20:20" x14ac:dyDescent="0.3"/>
    <row r="25" spans="20:20" x14ac:dyDescent="0.3"/>
    <row r="26" spans="20:20" x14ac:dyDescent="0.3"/>
    <row r="27" spans="20:20" x14ac:dyDescent="0.3"/>
    <row r="28" spans="20:20" x14ac:dyDescent="0.3"/>
    <row r="29" spans="20:20" x14ac:dyDescent="0.3"/>
    <row r="30" spans="20:20" x14ac:dyDescent="0.3"/>
    <row r="31" spans="20:20" x14ac:dyDescent="0.3"/>
    <row r="32" spans="20:20" x14ac:dyDescent="0.3"/>
    <row r="33" x14ac:dyDescent="0.3"/>
    <row r="34" x14ac:dyDescent="0.3"/>
    <row r="35" x14ac:dyDescent="0.3"/>
    <row r="36" x14ac:dyDescent="0.3"/>
    <row r="37" x14ac:dyDescent="0.3"/>
  </sheetData>
  <mergeCells count="4">
    <mergeCell ref="P2:T5"/>
    <mergeCell ref="A2:E5"/>
    <mergeCell ref="F2:J5"/>
    <mergeCell ref="K2: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0"/>
  <sheetViews>
    <sheetView topLeftCell="G23" zoomScaleNormal="100" workbookViewId="0">
      <selection activeCell="V19" sqref="V19"/>
    </sheetView>
  </sheetViews>
  <sheetFormatPr defaultColWidth="8.6640625" defaultRowHeight="14.4" x14ac:dyDescent="0.3"/>
  <cols>
    <col min="1" max="1" width="7.109375" customWidth="1"/>
    <col min="2" max="2" width="22" customWidth="1"/>
    <col min="3" max="3" width="17" bestFit="1" customWidth="1"/>
    <col min="4" max="4" width="24.109375" bestFit="1" customWidth="1"/>
    <col min="5" max="5" width="20" customWidth="1"/>
    <col min="6" max="6" width="21.77734375" bestFit="1" customWidth="1"/>
    <col min="7" max="7" width="16.5546875" bestFit="1" customWidth="1"/>
    <col min="8" max="8" width="16.21875" bestFit="1" customWidth="1"/>
    <col min="9" max="10" width="12" customWidth="1"/>
    <col min="11" max="11" width="18.21875" bestFit="1" customWidth="1"/>
    <col min="12" max="12" width="21.77734375" bestFit="1" customWidth="1"/>
    <col min="13" max="13" width="29.33203125" bestFit="1" customWidth="1"/>
  </cols>
  <sheetData>
    <row r="1" spans="1:13" ht="24.75" customHeight="1" x14ac:dyDescent="0.3">
      <c r="A1" t="s">
        <v>3</v>
      </c>
      <c r="B1" t="s">
        <v>4</v>
      </c>
      <c r="C1" t="s">
        <v>5</v>
      </c>
      <c r="D1" t="s">
        <v>0</v>
      </c>
      <c r="E1" t="s">
        <v>6</v>
      </c>
      <c r="F1" t="s">
        <v>7</v>
      </c>
      <c r="G1" t="s">
        <v>8</v>
      </c>
      <c r="H1" t="s">
        <v>9</v>
      </c>
      <c r="I1" t="s">
        <v>10</v>
      </c>
      <c r="J1" t="s">
        <v>11</v>
      </c>
      <c r="M1" t="s">
        <v>2</v>
      </c>
    </row>
    <row r="2" spans="1:13" x14ac:dyDescent="0.3">
      <c r="A2">
        <v>1</v>
      </c>
      <c r="B2" t="s">
        <v>12</v>
      </c>
      <c r="C2" t="s">
        <v>13</v>
      </c>
      <c r="D2" t="s">
        <v>1</v>
      </c>
      <c r="E2">
        <v>120</v>
      </c>
      <c r="F2">
        <v>350</v>
      </c>
      <c r="G2">
        <v>1850</v>
      </c>
      <c r="H2">
        <v>4.3</v>
      </c>
      <c r="I2" t="s">
        <v>14</v>
      </c>
      <c r="J2" t="s">
        <v>15</v>
      </c>
    </row>
    <row r="3" spans="1:13" x14ac:dyDescent="0.3">
      <c r="A3">
        <v>2</v>
      </c>
      <c r="B3" t="s">
        <v>16</v>
      </c>
      <c r="C3" t="s">
        <v>13</v>
      </c>
      <c r="D3" t="s">
        <v>1</v>
      </c>
      <c r="E3">
        <v>95</v>
      </c>
      <c r="F3">
        <v>400</v>
      </c>
      <c r="G3">
        <v>1200</v>
      </c>
      <c r="H3">
        <v>4.0999999999999996</v>
      </c>
      <c r="I3" t="s">
        <v>14</v>
      </c>
      <c r="J3" t="s">
        <v>17</v>
      </c>
    </row>
    <row r="4" spans="1:13" x14ac:dyDescent="0.3">
      <c r="A4">
        <v>3</v>
      </c>
      <c r="B4" t="s">
        <v>18</v>
      </c>
      <c r="C4" t="s">
        <v>19</v>
      </c>
      <c r="D4" t="s">
        <v>1</v>
      </c>
      <c r="E4">
        <v>90</v>
      </c>
      <c r="F4">
        <v>700</v>
      </c>
      <c r="G4">
        <v>180</v>
      </c>
      <c r="H4">
        <v>4.4000000000000004</v>
      </c>
      <c r="I4" t="s">
        <v>14</v>
      </c>
      <c r="J4" t="s">
        <v>17</v>
      </c>
    </row>
    <row r="5" spans="1:13" x14ac:dyDescent="0.3">
      <c r="A5">
        <v>4</v>
      </c>
      <c r="B5" t="s">
        <v>20</v>
      </c>
      <c r="C5" t="s">
        <v>21</v>
      </c>
      <c r="D5" t="s">
        <v>1</v>
      </c>
      <c r="E5">
        <v>75</v>
      </c>
      <c r="F5">
        <v>500</v>
      </c>
      <c r="G5">
        <v>420</v>
      </c>
      <c r="H5">
        <v>4.2</v>
      </c>
      <c r="I5" t="s">
        <v>14</v>
      </c>
      <c r="J5" t="s">
        <v>22</v>
      </c>
    </row>
    <row r="6" spans="1:13" x14ac:dyDescent="0.3">
      <c r="A6">
        <v>5</v>
      </c>
      <c r="B6" t="s">
        <v>23</v>
      </c>
      <c r="C6" t="s">
        <v>24</v>
      </c>
      <c r="D6" t="s">
        <v>1</v>
      </c>
      <c r="E6">
        <v>60</v>
      </c>
      <c r="F6">
        <v>280</v>
      </c>
      <c r="G6">
        <v>980</v>
      </c>
      <c r="H6">
        <v>4.2</v>
      </c>
      <c r="I6" t="s">
        <v>14</v>
      </c>
      <c r="J6" t="s">
        <v>15</v>
      </c>
    </row>
    <row r="7" spans="1:13" x14ac:dyDescent="0.3">
      <c r="A7">
        <v>6</v>
      </c>
      <c r="B7" t="s">
        <v>25</v>
      </c>
      <c r="C7" t="s">
        <v>26</v>
      </c>
      <c r="D7" t="s">
        <v>27</v>
      </c>
      <c r="E7">
        <v>45</v>
      </c>
      <c r="F7">
        <v>80</v>
      </c>
      <c r="G7">
        <v>650</v>
      </c>
      <c r="H7">
        <v>4.7</v>
      </c>
      <c r="I7" t="s">
        <v>28</v>
      </c>
      <c r="J7" t="s">
        <v>29</v>
      </c>
    </row>
    <row r="8" spans="1:13" x14ac:dyDescent="0.3">
      <c r="A8">
        <v>7</v>
      </c>
      <c r="B8" t="s">
        <v>30</v>
      </c>
      <c r="C8" t="s">
        <v>31</v>
      </c>
      <c r="D8" t="s">
        <v>1</v>
      </c>
      <c r="E8">
        <v>42</v>
      </c>
      <c r="F8">
        <v>300</v>
      </c>
      <c r="G8">
        <v>560</v>
      </c>
      <c r="H8">
        <v>4.3</v>
      </c>
      <c r="I8" t="s">
        <v>14</v>
      </c>
      <c r="J8" t="s">
        <v>32</v>
      </c>
    </row>
    <row r="9" spans="1:13" x14ac:dyDescent="0.3">
      <c r="A9">
        <v>8</v>
      </c>
      <c r="B9" t="s">
        <v>33</v>
      </c>
      <c r="C9" t="s">
        <v>34</v>
      </c>
      <c r="D9" t="s">
        <v>1</v>
      </c>
      <c r="E9">
        <v>40</v>
      </c>
      <c r="F9">
        <v>250</v>
      </c>
      <c r="G9">
        <v>3200</v>
      </c>
      <c r="H9">
        <v>4</v>
      </c>
      <c r="I9" t="s">
        <v>14</v>
      </c>
      <c r="J9" t="s">
        <v>17</v>
      </c>
    </row>
    <row r="10" spans="1:13" x14ac:dyDescent="0.3">
      <c r="A10">
        <v>9</v>
      </c>
      <c r="B10" t="s">
        <v>35</v>
      </c>
      <c r="C10" t="s">
        <v>36</v>
      </c>
      <c r="D10" t="s">
        <v>37</v>
      </c>
      <c r="E10">
        <v>35</v>
      </c>
      <c r="F10">
        <v>20</v>
      </c>
      <c r="G10">
        <v>420</v>
      </c>
      <c r="H10">
        <v>4.5999999999999996</v>
      </c>
      <c r="I10" t="s">
        <v>28</v>
      </c>
      <c r="J10" t="s">
        <v>38</v>
      </c>
    </row>
    <row r="11" spans="1:13" x14ac:dyDescent="0.3">
      <c r="A11">
        <v>10</v>
      </c>
      <c r="B11" t="s">
        <v>39</v>
      </c>
      <c r="C11" t="s">
        <v>40</v>
      </c>
      <c r="D11" t="s">
        <v>41</v>
      </c>
      <c r="E11">
        <v>32</v>
      </c>
      <c r="F11">
        <v>90</v>
      </c>
      <c r="G11">
        <v>380</v>
      </c>
      <c r="H11">
        <v>4.3</v>
      </c>
      <c r="I11" t="s">
        <v>10</v>
      </c>
      <c r="J11" t="s">
        <v>17</v>
      </c>
    </row>
    <row r="12" spans="1:13" x14ac:dyDescent="0.3">
      <c r="A12">
        <v>11</v>
      </c>
      <c r="B12" t="s">
        <v>42</v>
      </c>
      <c r="C12" t="s">
        <v>43</v>
      </c>
      <c r="D12" t="s">
        <v>44</v>
      </c>
      <c r="E12">
        <v>28</v>
      </c>
      <c r="F12">
        <v>150</v>
      </c>
      <c r="G12">
        <v>45</v>
      </c>
      <c r="H12">
        <v>4</v>
      </c>
      <c r="I12" t="s">
        <v>14</v>
      </c>
      <c r="J12" t="s">
        <v>45</v>
      </c>
    </row>
    <row r="13" spans="1:13" x14ac:dyDescent="0.3">
      <c r="A13">
        <v>12</v>
      </c>
      <c r="B13" t="s">
        <v>46</v>
      </c>
      <c r="C13" t="s">
        <v>47</v>
      </c>
      <c r="D13" t="s">
        <v>48</v>
      </c>
      <c r="E13">
        <v>25</v>
      </c>
      <c r="F13">
        <v>30</v>
      </c>
      <c r="G13">
        <v>780</v>
      </c>
      <c r="H13">
        <v>4.5</v>
      </c>
      <c r="I13" t="s">
        <v>14</v>
      </c>
      <c r="J13" t="s">
        <v>49</v>
      </c>
    </row>
    <row r="14" spans="1:13" x14ac:dyDescent="0.3">
      <c r="A14">
        <v>13</v>
      </c>
      <c r="B14" t="s">
        <v>50</v>
      </c>
      <c r="C14" t="s">
        <v>51</v>
      </c>
      <c r="D14" t="s">
        <v>1</v>
      </c>
      <c r="E14">
        <v>22</v>
      </c>
      <c r="F14">
        <v>600</v>
      </c>
      <c r="G14">
        <v>30</v>
      </c>
      <c r="H14">
        <v>4.2</v>
      </c>
      <c r="I14" t="s">
        <v>14</v>
      </c>
      <c r="J14" t="s">
        <v>52</v>
      </c>
    </row>
    <row r="15" spans="1:13" x14ac:dyDescent="0.3">
      <c r="A15">
        <v>14</v>
      </c>
      <c r="B15" t="s">
        <v>53</v>
      </c>
      <c r="C15" t="s">
        <v>51</v>
      </c>
      <c r="D15" t="s">
        <v>1</v>
      </c>
      <c r="E15">
        <v>20</v>
      </c>
      <c r="F15">
        <v>800</v>
      </c>
      <c r="G15">
        <v>60</v>
      </c>
      <c r="H15">
        <v>4.3</v>
      </c>
      <c r="I15" t="s">
        <v>14</v>
      </c>
      <c r="J15" t="s">
        <v>54</v>
      </c>
    </row>
    <row r="16" spans="1:13" x14ac:dyDescent="0.3">
      <c r="A16">
        <v>15</v>
      </c>
      <c r="B16" t="s">
        <v>55</v>
      </c>
      <c r="C16" t="s">
        <v>56</v>
      </c>
      <c r="D16" t="s">
        <v>1</v>
      </c>
      <c r="E16">
        <v>18</v>
      </c>
      <c r="F16">
        <v>40</v>
      </c>
      <c r="G16">
        <v>240</v>
      </c>
      <c r="H16">
        <v>4</v>
      </c>
      <c r="I16" t="s">
        <v>14</v>
      </c>
      <c r="J16" t="s">
        <v>32</v>
      </c>
    </row>
    <row r="17" spans="1:12" x14ac:dyDescent="0.3">
      <c r="A17">
        <v>16</v>
      </c>
      <c r="B17" t="s">
        <v>57</v>
      </c>
      <c r="C17" t="s">
        <v>58</v>
      </c>
      <c r="D17" t="s">
        <v>1</v>
      </c>
      <c r="E17">
        <v>15</v>
      </c>
      <c r="F17">
        <v>80</v>
      </c>
      <c r="G17">
        <v>420</v>
      </c>
      <c r="H17">
        <v>4.0999999999999996</v>
      </c>
      <c r="I17" t="s">
        <v>14</v>
      </c>
      <c r="J17" t="s">
        <v>15</v>
      </c>
    </row>
    <row r="18" spans="1:12" x14ac:dyDescent="0.3">
      <c r="A18">
        <v>17</v>
      </c>
      <c r="B18" t="s">
        <v>59</v>
      </c>
      <c r="C18" t="s">
        <v>40</v>
      </c>
      <c r="D18" t="s">
        <v>1</v>
      </c>
      <c r="E18">
        <v>14</v>
      </c>
      <c r="F18">
        <v>200</v>
      </c>
      <c r="G18">
        <v>95</v>
      </c>
      <c r="H18">
        <v>4.3</v>
      </c>
      <c r="I18" t="s">
        <v>14</v>
      </c>
      <c r="J18" t="s">
        <v>60</v>
      </c>
    </row>
    <row r="19" spans="1:12" x14ac:dyDescent="0.3">
      <c r="A19">
        <v>18</v>
      </c>
      <c r="B19" t="s">
        <v>61</v>
      </c>
      <c r="C19" t="s">
        <v>62</v>
      </c>
      <c r="D19" t="s">
        <v>44</v>
      </c>
      <c r="E19">
        <v>13</v>
      </c>
      <c r="F19">
        <v>60</v>
      </c>
      <c r="G19">
        <v>350</v>
      </c>
      <c r="H19">
        <v>4.0999999999999996</v>
      </c>
      <c r="I19" t="s">
        <v>14</v>
      </c>
      <c r="J19" t="s">
        <v>15</v>
      </c>
    </row>
    <row r="20" spans="1:12" x14ac:dyDescent="0.3">
      <c r="A20">
        <v>19</v>
      </c>
      <c r="B20" t="s">
        <v>63</v>
      </c>
      <c r="C20" t="s">
        <v>31</v>
      </c>
      <c r="D20" t="s">
        <v>1</v>
      </c>
      <c r="E20">
        <v>11</v>
      </c>
      <c r="F20">
        <v>120</v>
      </c>
      <c r="G20">
        <v>280</v>
      </c>
      <c r="H20">
        <v>4.2</v>
      </c>
      <c r="I20" t="s">
        <v>14</v>
      </c>
      <c r="J20" t="s">
        <v>29</v>
      </c>
    </row>
    <row r="21" spans="1:12" x14ac:dyDescent="0.3">
      <c r="A21">
        <v>20</v>
      </c>
      <c r="B21" t="s">
        <v>64</v>
      </c>
      <c r="C21" t="s">
        <v>40</v>
      </c>
      <c r="D21" t="s">
        <v>1</v>
      </c>
      <c r="E21">
        <v>10</v>
      </c>
      <c r="F21">
        <v>90</v>
      </c>
      <c r="G21">
        <v>85</v>
      </c>
      <c r="H21">
        <v>4.3</v>
      </c>
      <c r="I21" t="s">
        <v>14</v>
      </c>
      <c r="J21" t="s">
        <v>22</v>
      </c>
    </row>
    <row r="22" spans="1:12" ht="15" thickBot="1" x14ac:dyDescent="0.35"/>
    <row r="23" spans="1:12" ht="15" thickTop="1" x14ac:dyDescent="0.3">
      <c r="G23" s="4"/>
    </row>
    <row r="24" spans="1:12" x14ac:dyDescent="0.3">
      <c r="G24" s="1"/>
      <c r="H24" s="1"/>
      <c r="I24" s="1"/>
      <c r="J24" s="1"/>
    </row>
    <row r="25" spans="1:12" x14ac:dyDescent="0.3">
      <c r="C25" s="1" t="s">
        <v>65</v>
      </c>
      <c r="D25" t="s">
        <v>70</v>
      </c>
      <c r="F25" t="s">
        <v>70</v>
      </c>
      <c r="H25" t="s">
        <v>68</v>
      </c>
      <c r="K25" t="s">
        <v>73</v>
      </c>
    </row>
    <row r="26" spans="1:12" x14ac:dyDescent="0.3">
      <c r="C26" s="2" t="s">
        <v>12</v>
      </c>
      <c r="D26" s="3">
        <v>1850</v>
      </c>
      <c r="F26" s="3">
        <v>12225</v>
      </c>
      <c r="H26" s="3">
        <v>20</v>
      </c>
      <c r="K26" s="3">
        <v>810</v>
      </c>
    </row>
    <row r="27" spans="1:12" x14ac:dyDescent="0.3">
      <c r="C27" s="2" t="s">
        <v>23</v>
      </c>
      <c r="D27" s="3">
        <v>980</v>
      </c>
      <c r="F27">
        <f>GETPIVOTDATA("Revenue (₹ Cr)",$F$25)</f>
        <v>12225</v>
      </c>
      <c r="H27">
        <f>GETPIVOTDATA("Platform",$H$25)</f>
        <v>20</v>
      </c>
      <c r="K27">
        <f>GETPIVOTDATA("Active Players (Mn)",$K$25)</f>
        <v>810</v>
      </c>
    </row>
    <row r="28" spans="1:12" x14ac:dyDescent="0.3">
      <c r="C28" s="2" t="s">
        <v>33</v>
      </c>
      <c r="D28" s="3">
        <v>3200</v>
      </c>
    </row>
    <row r="29" spans="1:12" x14ac:dyDescent="0.3">
      <c r="C29" s="2" t="s">
        <v>16</v>
      </c>
      <c r="D29" s="3">
        <v>1200</v>
      </c>
      <c r="F29" s="1" t="s">
        <v>65</v>
      </c>
      <c r="G29" t="s">
        <v>67</v>
      </c>
      <c r="K29" s="1" t="s">
        <v>65</v>
      </c>
      <c r="L29" t="s">
        <v>69</v>
      </c>
    </row>
    <row r="30" spans="1:12" x14ac:dyDescent="0.3">
      <c r="C30" s="2" t="s">
        <v>46</v>
      </c>
      <c r="D30" s="3">
        <v>780</v>
      </c>
      <c r="F30" s="2" t="s">
        <v>1</v>
      </c>
      <c r="G30" s="3">
        <v>58.9</v>
      </c>
      <c r="K30" s="2" t="s">
        <v>53</v>
      </c>
      <c r="L30" s="3">
        <v>800</v>
      </c>
    </row>
    <row r="31" spans="1:12" x14ac:dyDescent="0.3">
      <c r="C31" s="2" t="s">
        <v>66</v>
      </c>
      <c r="D31" s="3">
        <v>8010</v>
      </c>
      <c r="F31" s="2" t="s">
        <v>44</v>
      </c>
      <c r="G31" s="3">
        <v>8.1</v>
      </c>
      <c r="K31" s="2" t="s">
        <v>18</v>
      </c>
      <c r="L31" s="3">
        <v>700</v>
      </c>
    </row>
    <row r="32" spans="1:12" x14ac:dyDescent="0.3">
      <c r="F32" s="2" t="s">
        <v>48</v>
      </c>
      <c r="G32" s="3">
        <v>4.5</v>
      </c>
      <c r="K32" s="2" t="s">
        <v>50</v>
      </c>
      <c r="L32" s="3">
        <v>600</v>
      </c>
    </row>
    <row r="33" spans="3:12" x14ac:dyDescent="0.3">
      <c r="F33" s="2" t="s">
        <v>37</v>
      </c>
      <c r="G33" s="3">
        <v>4.5999999999999996</v>
      </c>
      <c r="K33" s="2" t="s">
        <v>20</v>
      </c>
      <c r="L33" s="3">
        <v>500</v>
      </c>
    </row>
    <row r="34" spans="3:12" x14ac:dyDescent="0.3">
      <c r="F34" s="2" t="s">
        <v>41</v>
      </c>
      <c r="G34" s="3">
        <v>4.3</v>
      </c>
      <c r="K34" s="2" t="s">
        <v>16</v>
      </c>
      <c r="L34" s="3">
        <v>400</v>
      </c>
    </row>
    <row r="35" spans="3:12" x14ac:dyDescent="0.3">
      <c r="C35" s="1" t="s">
        <v>65</v>
      </c>
      <c r="D35" t="s">
        <v>73</v>
      </c>
      <c r="F35" s="2" t="s">
        <v>27</v>
      </c>
      <c r="G35" s="3">
        <v>4.7</v>
      </c>
      <c r="K35" s="2" t="s">
        <v>12</v>
      </c>
      <c r="L35" s="3">
        <v>350</v>
      </c>
    </row>
    <row r="36" spans="3:12" x14ac:dyDescent="0.3">
      <c r="C36" s="2" t="s">
        <v>1</v>
      </c>
      <c r="D36" s="3">
        <v>632</v>
      </c>
      <c r="F36" s="2" t="s">
        <v>66</v>
      </c>
      <c r="G36" s="3">
        <v>85.1</v>
      </c>
      <c r="K36" s="2" t="s">
        <v>30</v>
      </c>
      <c r="L36" s="3">
        <v>300</v>
      </c>
    </row>
    <row r="37" spans="3:12" x14ac:dyDescent="0.3">
      <c r="C37" s="2" t="s">
        <v>44</v>
      </c>
      <c r="D37" s="3">
        <v>41</v>
      </c>
      <c r="K37" s="2" t="s">
        <v>23</v>
      </c>
      <c r="L37" s="3">
        <v>280</v>
      </c>
    </row>
    <row r="38" spans="3:12" x14ac:dyDescent="0.3">
      <c r="C38" s="2" t="s">
        <v>48</v>
      </c>
      <c r="D38" s="3">
        <v>25</v>
      </c>
      <c r="F38" t="s">
        <v>69</v>
      </c>
      <c r="K38" s="2" t="s">
        <v>33</v>
      </c>
      <c r="L38" s="3">
        <v>250</v>
      </c>
    </row>
    <row r="39" spans="3:12" x14ac:dyDescent="0.3">
      <c r="C39" s="2" t="s">
        <v>37</v>
      </c>
      <c r="D39" s="3">
        <v>35</v>
      </c>
      <c r="F39" s="3">
        <v>5140</v>
      </c>
      <c r="K39" s="2" t="s">
        <v>59</v>
      </c>
      <c r="L39" s="3">
        <v>200</v>
      </c>
    </row>
    <row r="40" spans="3:12" x14ac:dyDescent="0.3">
      <c r="C40" s="2" t="s">
        <v>41</v>
      </c>
      <c r="D40" s="3">
        <v>32</v>
      </c>
      <c r="F40">
        <f>GETPIVOTDATA("Downloads (Mn)",$F$38)</f>
        <v>5140</v>
      </c>
      <c r="K40" s="2" t="s">
        <v>42</v>
      </c>
      <c r="L40" s="3">
        <v>150</v>
      </c>
    </row>
    <row r="41" spans="3:12" x14ac:dyDescent="0.3">
      <c r="C41" s="2" t="s">
        <v>27</v>
      </c>
      <c r="D41" s="3">
        <v>45</v>
      </c>
      <c r="K41" s="2" t="s">
        <v>63</v>
      </c>
      <c r="L41" s="3">
        <v>120</v>
      </c>
    </row>
    <row r="42" spans="3:12" x14ac:dyDescent="0.3">
      <c r="C42" s="2" t="s">
        <v>66</v>
      </c>
      <c r="D42" s="3">
        <v>810</v>
      </c>
      <c r="K42" s="2" t="s">
        <v>64</v>
      </c>
      <c r="L42" s="3">
        <v>90</v>
      </c>
    </row>
    <row r="43" spans="3:12" x14ac:dyDescent="0.3">
      <c r="K43" s="2" t="s">
        <v>39</v>
      </c>
      <c r="L43" s="3">
        <v>90</v>
      </c>
    </row>
    <row r="44" spans="3:12" x14ac:dyDescent="0.3">
      <c r="K44" s="2" t="s">
        <v>57</v>
      </c>
      <c r="L44" s="3">
        <v>80</v>
      </c>
    </row>
    <row r="45" spans="3:12" x14ac:dyDescent="0.3">
      <c r="K45" s="2" t="s">
        <v>25</v>
      </c>
      <c r="L45" s="3">
        <v>80</v>
      </c>
    </row>
    <row r="46" spans="3:12" x14ac:dyDescent="0.3">
      <c r="K46" s="2" t="s">
        <v>61</v>
      </c>
      <c r="L46" s="3">
        <v>60</v>
      </c>
    </row>
    <row r="47" spans="3:12" x14ac:dyDescent="0.3">
      <c r="K47" s="2" t="s">
        <v>55</v>
      </c>
      <c r="L47" s="3">
        <v>40</v>
      </c>
    </row>
    <row r="48" spans="3:12" x14ac:dyDescent="0.3">
      <c r="K48" s="2" t="s">
        <v>46</v>
      </c>
      <c r="L48" s="3">
        <v>30</v>
      </c>
    </row>
    <row r="49" spans="11:12" x14ac:dyDescent="0.3">
      <c r="K49" s="2" t="s">
        <v>35</v>
      </c>
      <c r="L49" s="3">
        <v>20</v>
      </c>
    </row>
    <row r="50" spans="11:12" x14ac:dyDescent="0.3">
      <c r="K50" s="2" t="s">
        <v>66</v>
      </c>
      <c r="L50" s="3">
        <v>5140</v>
      </c>
    </row>
  </sheetData>
  <pageMargins left="0.75" right="0.75" top="1" bottom="1" header="0.511811023622047" footer="0.511811023622047"/>
  <pageSetup paperSize="9" orientation="portrait" horizontalDpi="300" verticalDpi="300"/>
  <tableParts count="1">
    <tablePart r:id="rId9"/>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Top 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2026-05-25T13:42:31Z</dcterms:created>
  <dcterms:modified xsi:type="dcterms:W3CDTF">2026-05-29T13:14:54Z</dcterms:modified>
  <dc:language>en-US</dc:language>
</cp:coreProperties>
</file>